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CE4B262-C441-4441-959A-0EE7994454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L&amp;Cost1" sheetId="4" r:id="rId1"/>
  </sheets>
  <calcPr calcId="191029"/>
  <extLst>
    <ext uri="GoogleSheetsCustomDataVersion2">
      <go:sheetsCustomData xmlns:go="http://customooxmlschemas.google.com/" r:id="rId12" roundtripDataChecksum="YdCcTTVTtELxdZ8k9zgkSxSMFqhymoBPZYFlnmG5bIo="/>
    </ext>
  </extLst>
</workbook>
</file>

<file path=xl/calcChain.xml><?xml version="1.0" encoding="utf-8"?>
<calcChain xmlns="http://schemas.openxmlformats.org/spreadsheetml/2006/main">
  <c r="S204" i="4" l="1"/>
  <c r="T204" i="4" s="1"/>
  <c r="U204" i="4" s="1"/>
  <c r="S203" i="4"/>
  <c r="T203" i="4" s="1"/>
  <c r="U203" i="4" s="1"/>
  <c r="S202" i="4"/>
  <c r="T202" i="4" s="1"/>
  <c r="U202" i="4" s="1"/>
  <c r="S201" i="4"/>
  <c r="T201" i="4" s="1"/>
  <c r="U201" i="4" s="1"/>
  <c r="S200" i="4"/>
  <c r="T200" i="4" s="1"/>
  <c r="U200" i="4" s="1"/>
  <c r="S199" i="4"/>
  <c r="T199" i="4" s="1"/>
  <c r="U199" i="4" s="1"/>
  <c r="S198" i="4"/>
  <c r="T198" i="4" s="1"/>
  <c r="U198" i="4" s="1"/>
  <c r="S197" i="4"/>
  <c r="T197" i="4" s="1"/>
  <c r="U197" i="4" s="1"/>
  <c r="S196" i="4"/>
  <c r="T196" i="4" s="1"/>
  <c r="U196" i="4" s="1"/>
  <c r="S195" i="4"/>
  <c r="T195" i="4" s="1"/>
  <c r="U195" i="4" s="1"/>
  <c r="S194" i="4"/>
  <c r="T194" i="4" s="1"/>
  <c r="U194" i="4" s="1"/>
  <c r="S193" i="4"/>
  <c r="T193" i="4" s="1"/>
  <c r="U193" i="4" s="1"/>
  <c r="S192" i="4"/>
  <c r="T192" i="4" s="1"/>
  <c r="U192" i="4" s="1"/>
  <c r="S191" i="4"/>
  <c r="T191" i="4" s="1"/>
  <c r="U191" i="4" s="1"/>
  <c r="S190" i="4"/>
  <c r="T190" i="4" s="1"/>
  <c r="U190" i="4" s="1"/>
  <c r="S186" i="4"/>
  <c r="T186" i="4" s="1"/>
  <c r="U186" i="4" s="1"/>
  <c r="S185" i="4"/>
  <c r="T185" i="4" s="1"/>
  <c r="U185" i="4" s="1"/>
  <c r="S184" i="4"/>
  <c r="T184" i="4" s="1"/>
  <c r="U184" i="4" s="1"/>
  <c r="S183" i="4"/>
  <c r="T183" i="4" s="1"/>
  <c r="U183" i="4" s="1"/>
  <c r="S182" i="4"/>
  <c r="T182" i="4" s="1"/>
  <c r="U182" i="4" s="1"/>
  <c r="S181" i="4"/>
  <c r="T181" i="4" s="1"/>
  <c r="U181" i="4" s="1"/>
  <c r="S180" i="4"/>
  <c r="T180" i="4" s="1"/>
  <c r="U180" i="4" s="1"/>
  <c r="S179" i="4"/>
  <c r="T179" i="4" s="1"/>
  <c r="U179" i="4" s="1"/>
  <c r="S178" i="4"/>
  <c r="T178" i="4" s="1"/>
  <c r="U178" i="4" s="1"/>
  <c r="S177" i="4"/>
  <c r="T177" i="4" s="1"/>
  <c r="U177" i="4" s="1"/>
  <c r="S176" i="4"/>
  <c r="T176" i="4" s="1"/>
  <c r="U176" i="4" s="1"/>
  <c r="S175" i="4"/>
  <c r="T175" i="4" s="1"/>
  <c r="U175" i="4" s="1"/>
  <c r="S174" i="4"/>
  <c r="T174" i="4" s="1"/>
  <c r="U174" i="4" s="1"/>
  <c r="S173" i="4"/>
  <c r="T173" i="4" s="1"/>
  <c r="U173" i="4" s="1"/>
  <c r="S172" i="4"/>
  <c r="T172" i="4" s="1"/>
  <c r="U172" i="4" s="1"/>
  <c r="S171" i="4"/>
  <c r="T171" i="4" s="1"/>
  <c r="U171" i="4" s="1"/>
  <c r="S170" i="4"/>
  <c r="T170" i="4" s="1"/>
  <c r="U170" i="4" s="1"/>
  <c r="S169" i="4"/>
  <c r="T169" i="4" s="1"/>
  <c r="U169" i="4" s="1"/>
  <c r="S168" i="4"/>
  <c r="T168" i="4" s="1"/>
  <c r="U168" i="4" s="1"/>
  <c r="S167" i="4"/>
  <c r="T167" i="4" s="1"/>
  <c r="U167" i="4" s="1"/>
  <c r="S166" i="4"/>
  <c r="T166" i="4" s="1"/>
  <c r="U166" i="4" s="1"/>
  <c r="S165" i="4"/>
  <c r="T165" i="4" s="1"/>
  <c r="U165" i="4" s="1"/>
  <c r="S164" i="4"/>
  <c r="T164" i="4" s="1"/>
  <c r="U164" i="4" s="1"/>
  <c r="S163" i="4"/>
  <c r="T163" i="4" s="1"/>
  <c r="U163" i="4" s="1"/>
  <c r="S162" i="4"/>
  <c r="T162" i="4" s="1"/>
  <c r="U162" i="4" s="1"/>
  <c r="S161" i="4"/>
  <c r="T161" i="4" s="1"/>
  <c r="U161" i="4" s="1"/>
  <c r="S160" i="4"/>
  <c r="T160" i="4" s="1"/>
  <c r="U160" i="4" s="1"/>
  <c r="S159" i="4"/>
  <c r="T159" i="4" s="1"/>
  <c r="U159" i="4" s="1"/>
  <c r="S158" i="4"/>
  <c r="T158" i="4" s="1"/>
  <c r="U158" i="4" s="1"/>
  <c r="S157" i="4"/>
  <c r="T157" i="4" s="1"/>
  <c r="U157" i="4" s="1"/>
  <c r="S156" i="4"/>
  <c r="T156" i="4" s="1"/>
  <c r="U156" i="4" s="1"/>
  <c r="S155" i="4"/>
  <c r="T155" i="4" s="1"/>
  <c r="U155" i="4" s="1"/>
  <c r="S154" i="4"/>
  <c r="T154" i="4" s="1"/>
  <c r="U154" i="4" s="1"/>
  <c r="S153" i="4"/>
  <c r="T153" i="4" s="1"/>
  <c r="U153" i="4" s="1"/>
  <c r="S152" i="4"/>
  <c r="T152" i="4" s="1"/>
  <c r="U152" i="4" s="1"/>
  <c r="S151" i="4"/>
  <c r="T151" i="4" s="1"/>
  <c r="U151" i="4" s="1"/>
  <c r="S150" i="4"/>
  <c r="T150" i="4" s="1"/>
  <c r="U150" i="4" s="1"/>
  <c r="S149" i="4"/>
  <c r="T149" i="4" s="1"/>
  <c r="U149" i="4" s="1"/>
  <c r="S148" i="4"/>
  <c r="T148" i="4" s="1"/>
  <c r="U148" i="4" s="1"/>
  <c r="S147" i="4"/>
  <c r="T147" i="4" s="1"/>
  <c r="U147" i="4" s="1"/>
  <c r="S146" i="4"/>
  <c r="T146" i="4" s="1"/>
  <c r="U146" i="4" s="1"/>
  <c r="S145" i="4"/>
  <c r="T145" i="4" s="1"/>
  <c r="U145" i="4" s="1"/>
  <c r="S144" i="4"/>
  <c r="T144" i="4" s="1"/>
  <c r="U144" i="4" s="1"/>
  <c r="S143" i="4"/>
  <c r="T143" i="4" s="1"/>
  <c r="U143" i="4" s="1"/>
  <c r="S142" i="4"/>
  <c r="T142" i="4" s="1"/>
  <c r="U142" i="4" s="1"/>
  <c r="S141" i="4"/>
  <c r="T141" i="4" s="1"/>
  <c r="U141" i="4" s="1"/>
  <c r="S140" i="4"/>
  <c r="T140" i="4" s="1"/>
  <c r="U140" i="4" s="1"/>
  <c r="S139" i="4"/>
  <c r="T139" i="4" s="1"/>
  <c r="U139" i="4" s="1"/>
  <c r="S138" i="4"/>
  <c r="T138" i="4" s="1"/>
  <c r="U138" i="4" s="1"/>
  <c r="S137" i="4"/>
  <c r="T137" i="4" s="1"/>
  <c r="U137" i="4" s="1"/>
  <c r="S136" i="4"/>
  <c r="T136" i="4" s="1"/>
  <c r="U136" i="4" s="1"/>
  <c r="S135" i="4"/>
  <c r="T135" i="4" s="1"/>
  <c r="U135" i="4" s="1"/>
  <c r="S134" i="4"/>
  <c r="T134" i="4" s="1"/>
  <c r="U134" i="4" s="1"/>
  <c r="S133" i="4"/>
  <c r="T133" i="4" s="1"/>
  <c r="U133" i="4" s="1"/>
  <c r="S132" i="4"/>
  <c r="T132" i="4" s="1"/>
  <c r="U132" i="4" s="1"/>
  <c r="S131" i="4"/>
  <c r="T131" i="4" s="1"/>
  <c r="U131" i="4" s="1"/>
  <c r="S130" i="4"/>
  <c r="T130" i="4" s="1"/>
  <c r="U130" i="4" s="1"/>
  <c r="S129" i="4"/>
  <c r="T129" i="4" s="1"/>
  <c r="U129" i="4" s="1"/>
  <c r="S128" i="4"/>
  <c r="T128" i="4" s="1"/>
  <c r="U128" i="4" s="1"/>
  <c r="S127" i="4"/>
  <c r="T127" i="4" s="1"/>
  <c r="U127" i="4" s="1"/>
  <c r="S126" i="4"/>
  <c r="T126" i="4" s="1"/>
  <c r="U126" i="4" s="1"/>
  <c r="S125" i="4"/>
  <c r="T125" i="4" s="1"/>
  <c r="U125" i="4" s="1"/>
  <c r="S124" i="4"/>
  <c r="T124" i="4" s="1"/>
  <c r="U124" i="4" s="1"/>
  <c r="S123" i="4"/>
  <c r="T123" i="4" s="1"/>
  <c r="U123" i="4" s="1"/>
  <c r="S122" i="4"/>
  <c r="T122" i="4" s="1"/>
  <c r="U122" i="4" s="1"/>
  <c r="S121" i="4"/>
  <c r="T121" i="4" s="1"/>
  <c r="U121" i="4" s="1"/>
  <c r="S120" i="4"/>
  <c r="T120" i="4" s="1"/>
  <c r="U120" i="4" s="1"/>
  <c r="S119" i="4"/>
  <c r="T119" i="4" s="1"/>
  <c r="U119" i="4" s="1"/>
  <c r="S118" i="4"/>
  <c r="T118" i="4" s="1"/>
  <c r="U118" i="4" s="1"/>
  <c r="S117" i="4"/>
  <c r="T117" i="4" s="1"/>
  <c r="U117" i="4" s="1"/>
  <c r="S116" i="4"/>
  <c r="T116" i="4" s="1"/>
  <c r="U116" i="4" s="1"/>
  <c r="S115" i="4"/>
  <c r="T115" i="4" s="1"/>
  <c r="U115" i="4" s="1"/>
  <c r="S114" i="4"/>
  <c r="T114" i="4" s="1"/>
  <c r="U114" i="4" s="1"/>
  <c r="S113" i="4"/>
  <c r="T113" i="4" s="1"/>
  <c r="U113" i="4" s="1"/>
  <c r="S112" i="4"/>
  <c r="T112" i="4" s="1"/>
  <c r="U112" i="4" s="1"/>
  <c r="S111" i="4"/>
  <c r="T111" i="4" s="1"/>
  <c r="U111" i="4" s="1"/>
  <c r="S110" i="4"/>
  <c r="T110" i="4" s="1"/>
  <c r="U110" i="4" s="1"/>
  <c r="S109" i="4"/>
  <c r="T109" i="4" s="1"/>
  <c r="U109" i="4" s="1"/>
  <c r="S108" i="4"/>
  <c r="T108" i="4" s="1"/>
  <c r="U108" i="4" s="1"/>
  <c r="S107" i="4"/>
  <c r="T107" i="4" s="1"/>
  <c r="U107" i="4" s="1"/>
  <c r="S106" i="4"/>
  <c r="T106" i="4" s="1"/>
  <c r="U106" i="4" s="1"/>
  <c r="S105" i="4"/>
  <c r="T105" i="4" s="1"/>
  <c r="U105" i="4" s="1"/>
  <c r="S104" i="4"/>
  <c r="T104" i="4" s="1"/>
  <c r="U104" i="4" s="1"/>
  <c r="S103" i="4"/>
  <c r="T103" i="4" s="1"/>
  <c r="U103" i="4" s="1"/>
  <c r="S102" i="4"/>
  <c r="T102" i="4" s="1"/>
  <c r="U102" i="4" s="1"/>
  <c r="S101" i="4"/>
  <c r="T101" i="4" s="1"/>
  <c r="U101" i="4" s="1"/>
  <c r="S100" i="4"/>
  <c r="T100" i="4" s="1"/>
  <c r="U100" i="4" s="1"/>
  <c r="S99" i="4"/>
  <c r="T99" i="4" s="1"/>
  <c r="U99" i="4" s="1"/>
  <c r="S98" i="4"/>
  <c r="T98" i="4" s="1"/>
  <c r="U98" i="4" s="1"/>
  <c r="S97" i="4"/>
  <c r="T97" i="4" s="1"/>
  <c r="U97" i="4" s="1"/>
  <c r="S96" i="4"/>
  <c r="T96" i="4" s="1"/>
  <c r="U96" i="4" s="1"/>
  <c r="S95" i="4"/>
  <c r="T95" i="4" s="1"/>
  <c r="U95" i="4" s="1"/>
  <c r="S94" i="4"/>
  <c r="T94" i="4" s="1"/>
  <c r="U94" i="4" s="1"/>
  <c r="S93" i="4"/>
  <c r="T93" i="4" s="1"/>
  <c r="U93" i="4" s="1"/>
  <c r="S92" i="4"/>
  <c r="T92" i="4" s="1"/>
  <c r="U92" i="4" s="1"/>
  <c r="S91" i="4"/>
  <c r="T91" i="4" s="1"/>
  <c r="U91" i="4" s="1"/>
  <c r="S90" i="4"/>
  <c r="T90" i="4" s="1"/>
  <c r="U90" i="4" s="1"/>
  <c r="S89" i="4"/>
  <c r="T89" i="4" s="1"/>
  <c r="U89" i="4" s="1"/>
  <c r="S88" i="4"/>
  <c r="T88" i="4" s="1"/>
  <c r="U88" i="4" s="1"/>
  <c r="S87" i="4"/>
  <c r="T87" i="4" s="1"/>
  <c r="U87" i="4" s="1"/>
  <c r="S86" i="4"/>
  <c r="T86" i="4" s="1"/>
  <c r="U86" i="4" s="1"/>
  <c r="S85" i="4"/>
  <c r="T85" i="4" s="1"/>
  <c r="U85" i="4" s="1"/>
  <c r="S84" i="4"/>
  <c r="T84" i="4" s="1"/>
  <c r="U84" i="4" s="1"/>
  <c r="H66" i="4"/>
  <c r="U205" i="4" l="1"/>
  <c r="U187" i="4"/>
  <c r="U80" i="4" l="1"/>
  <c r="U79" i="4" s="1"/>
</calcChain>
</file>

<file path=xl/sharedStrings.xml><?xml version="1.0" encoding="utf-8"?>
<sst xmlns="http://schemas.openxmlformats.org/spreadsheetml/2006/main" count="877" uniqueCount="683">
  <si>
    <t>2 Function list &amp; Cost</t>
  </si>
  <si>
    <t>2.1 Use case diagram</t>
  </si>
  <si>
    <t>The general use case is as shown in the diagram below.</t>
  </si>
  <si>
    <t>Figure 19: Use case diagram</t>
  </si>
  <si>
    <t>2.2 Function list</t>
  </si>
  <si>
    <t>FUNCTION POINT CALCULATION</t>
  </si>
  <si>
    <t>Data FP</t>
  </si>
  <si>
    <t>Counting</t>
  </si>
  <si>
    <t>No.</t>
  </si>
  <si>
    <t>VAF</t>
  </si>
  <si>
    <t>Weight: 0 (low) ~ 5 (high)</t>
  </si>
  <si>
    <t>ILF / ELF</t>
  </si>
  <si>
    <t>DET</t>
  </si>
  <si>
    <t>FP</t>
  </si>
  <si>
    <t>Complexity</t>
  </si>
  <si>
    <t>Data communications</t>
  </si>
  <si>
    <t>RET</t>
  </si>
  <si>
    <t>Type</t>
  </si>
  <si>
    <t>Low</t>
  </si>
  <si>
    <t>Average</t>
  </si>
  <si>
    <t>High</t>
  </si>
  <si>
    <t>Distributed data processing</t>
  </si>
  <si>
    <t>ILF</t>
  </si>
  <si>
    <t>Performance</t>
  </si>
  <si>
    <t>EIF</t>
  </si>
  <si>
    <t>Heavily used configuration</t>
  </si>
  <si>
    <t>EI</t>
  </si>
  <si>
    <t>Transaction rate</t>
  </si>
  <si>
    <t>EO</t>
  </si>
  <si>
    <t>On-Line data entry</t>
  </si>
  <si>
    <t>Transactional FP</t>
  </si>
  <si>
    <t>EQ</t>
  </si>
  <si>
    <t>End-user efficiency</t>
  </si>
  <si>
    <t>On-Line update</t>
  </si>
  <si>
    <t>FTR</t>
  </si>
  <si>
    <t>Complex processing</t>
  </si>
  <si>
    <t>Reusability</t>
  </si>
  <si>
    <t>Installation ease</t>
  </si>
  <si>
    <t>Operational ease</t>
  </si>
  <si>
    <t>Multiple sites</t>
  </si>
  <si>
    <t>EO / EQ</t>
  </si>
  <si>
    <t xml:space="preserve">Facilitate change </t>
  </si>
  <si>
    <t>FP:</t>
  </si>
  <si>
    <t>Function Point</t>
  </si>
  <si>
    <t>VAF:</t>
  </si>
  <si>
    <t>Value Added Factor</t>
  </si>
  <si>
    <t>DET:</t>
  </si>
  <si>
    <t>Data Element Type</t>
  </si>
  <si>
    <t>RET:</t>
  </si>
  <si>
    <t>Record Element Type</t>
  </si>
  <si>
    <t>FTR:</t>
  </si>
  <si>
    <t>File Types Referenced</t>
  </si>
  <si>
    <t>ILF:</t>
  </si>
  <si>
    <t>Internal Logical Files</t>
  </si>
  <si>
    <t>EIF:</t>
  </si>
  <si>
    <t>External Interface Files</t>
  </si>
  <si>
    <t>EI:</t>
  </si>
  <si>
    <t>External Inputs</t>
  </si>
  <si>
    <t>EO:</t>
  </si>
  <si>
    <t>External Outputs</t>
  </si>
  <si>
    <t>EQ:</t>
  </si>
  <si>
    <t>External Inquiry</t>
  </si>
  <si>
    <t>Adjusted FP</t>
  </si>
  <si>
    <t>The table below lists the functions provided by this system.</t>
  </si>
  <si>
    <t>Unadjusted FP</t>
  </si>
  <si>
    <t>No</t>
  </si>
  <si>
    <t>Function Code</t>
  </si>
  <si>
    <t>Module</t>
  </si>
  <si>
    <t>Function name</t>
  </si>
  <si>
    <t>Subfunction Name</t>
  </si>
  <si>
    <t>Function overview</t>
  </si>
  <si>
    <t>Actor</t>
  </si>
  <si>
    <t>Category</t>
  </si>
  <si>
    <t>RET / FTR</t>
  </si>
  <si>
    <t>Input</t>
  </si>
  <si>
    <t>Output</t>
  </si>
  <si>
    <t>Remarks</t>
  </si>
  <si>
    <t>FP adjusted</t>
  </si>
  <si>
    <t>Transaction Functions</t>
  </si>
  <si>
    <t>F-USER-01</t>
  </si>
  <si>
    <t>Account Management</t>
  </si>
  <si>
    <t>Register Account</t>
  </si>
  <si>
    <t>Display user registration form</t>
  </si>
  <si>
    <t>Displays the form interface allowing a new user (Guest) to input registration details.</t>
  </si>
  <si>
    <t>Guest</t>
  </si>
  <si>
    <t>None</t>
  </si>
  <si>
    <t>Registration page interface (Name, Email, Password, Account type)</t>
  </si>
  <si>
    <t>F-USER-02</t>
  </si>
  <si>
    <t>Record and validate user input</t>
  </si>
  <si>
    <t>Captures registration info and validates data for correctness and required formats.</t>
  </si>
  <si>
    <t>Full Name, Email, Password, Confirm Password, Account Type</t>
  </si>
  <si>
    <t>Validated user data or specific error messages</t>
  </si>
  <si>
    <t>F-USER-03</t>
  </si>
  <si>
    <t>Verify data and check for duplicates</t>
  </si>
  <si>
    <t>Checks if the provided email address already exists in the system database.</t>
  </si>
  <si>
    <t>User-provided email address</t>
  </si>
  <si>
    <t>Valid status (not a duplicate) or "Email already exists" error</t>
  </si>
  <si>
    <t>F-USER-04</t>
  </si>
  <si>
    <t>Create account and save to system</t>
  </si>
  <si>
    <t>Creates a new user record with "Pending Approval" status and hashes the password.</t>
  </si>
  <si>
    <t>Validated user data (profile info + hashed password)</t>
  </si>
  <si>
    <t>Newly created User ID and registration success message</t>
  </si>
  <si>
    <t>F-USER-05</t>
  </si>
  <si>
    <t>Login</t>
  </si>
  <si>
    <t>Display login interface</t>
  </si>
  <si>
    <t>Displays the form for registered users to enter credentials to access the system.</t>
  </si>
  <si>
    <t>Member</t>
  </si>
  <si>
    <t>Login page interface with Email and Password fields</t>
  </si>
  <si>
    <t>F-USER-06</t>
  </si>
  <si>
    <t>Capture and verify credentials</t>
  </si>
  <si>
    <t>Captures the email and password entered by the user and performs initial empty-field check.</t>
  </si>
  <si>
    <t>Email (string), Password (string)</t>
  </si>
  <si>
    <t>Captured login credentials for authentication</t>
  </si>
  <si>
    <t>F-USER-07</t>
  </si>
  <si>
    <t>Authenticate and grant access</t>
  </si>
  <si>
    <t>Compares credentials against DB, checks "Approved" status, and creates a user session.</t>
  </si>
  <si>
    <t>Email, Plain-text password</t>
  </si>
  <si>
    <t>Authenticated user session/token or "Invalid" error message</t>
  </si>
  <si>
    <t>F-USER-08</t>
  </si>
  <si>
    <t>Redirect to homepage</t>
  </si>
  <si>
    <t>Automatically navigates the user to their personalized dashboard after successful login/logout.</t>
  </si>
  <si>
    <t>Valid user session or Logout trigger</t>
  </si>
  <si>
    <t>User's dashboard or public homepage interface</t>
  </si>
  <si>
    <t>F-USER-09</t>
  </si>
  <si>
    <t>Logout</t>
  </si>
  <si>
    <t>Terminate session</t>
  </si>
  <si>
    <t>Invalidates the current user session or authentication token upon logout request.</t>
  </si>
  <si>
    <t>Logout request from the user</t>
  </si>
  <si>
    <t>Terminated user session status</t>
  </si>
  <si>
    <t>F-USER-10</t>
  </si>
  <si>
    <t>Confirm logout</t>
  </si>
  <si>
    <t>Displays a confirmation message indicating the user has successfully exited the system.</t>
  </si>
  <si>
    <t>None (triggered after F-USER-09)</t>
  </si>
  <si>
    <t>"You have been successfully logged out" message</t>
  </si>
  <si>
    <t>F-USER-11</t>
  </si>
  <si>
    <t>Forgot Password</t>
  </si>
  <si>
    <t>Display password recovery interface</t>
  </si>
  <si>
    <t>Displays the form allowing a user to enter their email to start the password reset process.</t>
  </si>
  <si>
    <t>Recovery page with email input field and "Submit" button</t>
  </si>
  <si>
    <t>F-USER-12</t>
  </si>
  <si>
    <t>Validate email existence and generate recovery token</t>
  </si>
  <si>
    <t>Verifies if the email exists and generates a secure, time-limited token for reset.</t>
  </si>
  <si>
    <t>Success status and generated unique recovery token</t>
  </si>
  <si>
    <t>F-USER-13</t>
  </si>
  <si>
    <t>Deliver recovery notification via email</t>
  </si>
  <si>
    <t>Sends an email containing an OTP to the user's registered address.</t>
  </si>
  <si>
    <t>User Email, Recovery Token/Link</t>
  </si>
  <si>
    <t>Recovery email sent status (Success/Fail)</t>
  </si>
  <si>
    <t>F-USER-14</t>
  </si>
  <si>
    <t>Verify recovery token and validate new password complexity</t>
  </si>
  <si>
    <t>Validates the token and ensures the new password meets complexity requirements.</t>
  </si>
  <si>
    <t>Recovery Token, New Password, Confirm Password</t>
  </si>
  <si>
    <t>Token validation status and password complexity pass/fail</t>
  </si>
  <si>
    <t>F-USER-15</t>
  </si>
  <si>
    <t>Update password in database and invalidate old token</t>
  </si>
  <si>
    <t>Saves the new hashed password to the DB and disables the used recovery token.</t>
  </si>
  <si>
    <t>User ID, Validated New Password (hashed)</t>
  </si>
  <si>
    <t>Success message and redirect to login page</t>
  </si>
  <si>
    <t>F-USER-16</t>
  </si>
  <si>
    <t>Change Password</t>
  </si>
  <si>
    <t>Display change password form</t>
  </si>
  <si>
    <t>Provides the interface within settings for a logged-in Member to update their password.</t>
  </si>
  <si>
    <t>Form with Current, New, and Confirm Password fields</t>
  </si>
  <si>
    <t>F-USER-17</t>
  </si>
  <si>
    <t>Authenticate current password and validate new input match</t>
  </si>
  <si>
    <t>Verifies the old password and ensures the new inputs match and meet policies.</t>
  </si>
  <si>
    <t>Current Password, New Password, Confirm New Password</t>
  </si>
  <si>
    <t>Validation status and match/mismatch messages</t>
  </si>
  <si>
    <t>F-USER-18</t>
  </si>
  <si>
    <t>Encrypt and save new password to the database</t>
  </si>
  <si>
    <t>Hashes the new password and updates the user record with a new timestamp.</t>
  </si>
  <si>
    <t>User ID, Validated New Password</t>
  </si>
  <si>
    <t>Success/Failure status of the DB update operation</t>
  </si>
  <si>
    <t>F-USER-19</t>
  </si>
  <si>
    <t>Display password change success notification</t>
  </si>
  <si>
    <t>Provides immediate visual feedback confirming the password update was successful.</t>
  </si>
  <si>
    <t>Success status from F-USER-18</t>
  </si>
  <si>
    <t>On-screen popup success message</t>
  </si>
  <si>
    <t>F-PROFILE-01</t>
  </si>
  <si>
    <t>Profile Management</t>
  </si>
  <si>
    <t>View Profile</t>
  </si>
  <si>
    <t>Display profile interface</t>
  </si>
  <si>
    <t>Displays the personal profile information page for the logged-in user.</t>
  </si>
  <si>
    <t>User ID from the current session</t>
  </si>
  <si>
    <t>The "My Profile" page interface</t>
  </si>
  <si>
    <t>F-PROFILE-02</t>
  </si>
  <si>
    <t>Retrieve user data from the database</t>
  </si>
  <si>
    <t>Fetches detailed information, tour/contract statistics, and ratings of the user.</t>
  </si>
  <si>
    <t>User ID</t>
  </si>
  <si>
    <t>User data object (Name, Email, Stats, etc.)</t>
  </si>
  <si>
    <t>F-PROFILE-03</t>
  </si>
  <si>
    <t>Show detailed information</t>
  </si>
  <si>
    <t>Populates the fetched user data into the corresponding fields on the interface.</t>
  </si>
  <si>
    <t>User data object</t>
  </si>
  <si>
    <t>Populated profile interface for viewing</t>
  </si>
  <si>
    <t>F-PROFILE-04</t>
  </si>
  <si>
    <t>Redirect to previous interface</t>
  </si>
  <si>
    <t>Handles navigation back to the previous page or homepage from profile.</t>
  </si>
  <si>
    <t>Back or Home button click</t>
  </si>
  <si>
    <t>Previous page or homepage interface</t>
  </si>
  <si>
    <t>F-PROFILE-05</t>
  </si>
  <si>
    <t>Update Profile</t>
  </si>
  <si>
    <t>Display editable profile form</t>
  </si>
  <si>
    <t>Renders the profile information within an editable form for modification.</t>
  </si>
  <si>
    <t>Edit button click event</t>
  </si>
  <si>
    <t>Pre-filled editable form interface</t>
  </si>
  <si>
    <t>F-PROFILE-06</t>
  </si>
  <si>
    <t>Enable editing for selected fields</t>
  </si>
  <si>
    <t>Activates the input fields to allow user interaction and data entry.</t>
  </si>
  <si>
    <t>Displayed editable form</t>
  </si>
  <si>
    <t>Active fields state (Ready for input)</t>
  </si>
  <si>
    <t>F-PROFILE-07</t>
  </si>
  <si>
    <t>Capture and validate input</t>
  </si>
  <si>
    <t>Captures new information and checks for correct formats (e.g., phone, address).</t>
  </si>
  <si>
    <t>Updated profile data from form</t>
  </si>
  <si>
    <t>Validated data or real-time error messages</t>
  </si>
  <si>
    <t>F-PROFILE-08</t>
  </si>
  <si>
    <t>Update user data in the database</t>
  </si>
  <si>
    <t>Saves the validated changes and updates the "Last Modified" timestamp.</t>
  </si>
  <si>
    <t>Validated user data object</t>
  </si>
  <si>
    <t>Success/Failure status for the update</t>
  </si>
  <si>
    <t>F-PROFILE-09</t>
  </si>
  <si>
    <t>Display update success notification</t>
  </si>
  <si>
    <t>Provides a clear confirmation message to the user after saving changes.</t>
  </si>
  <si>
    <t>Success status from F-PROFILE-08</t>
  </si>
  <si>
    <t>"Profile updated successfully" message</t>
  </si>
  <si>
    <t>F-DIR-01</t>
  </si>
  <si>
    <t>Directory &amp; Search</t>
  </si>
  <si>
    <t>Select Craft Villages (For Matching)</t>
  </si>
  <si>
    <t>Display list of available craft villages</t>
  </si>
  <si>
    <t>Retrieves and displays a grid of all approved craft villages for browsing.</t>
  </si>
  <si>
    <t>Travel Agency</t>
  </si>
  <si>
    <t>Access request, pagination params</t>
  </si>
  <si>
    <t>List of villages with summary info</t>
  </si>
  <si>
    <t>F-DIR-02</t>
  </si>
  <si>
    <t>Filter and sort villages based on keywords or categories</t>
  </si>
  <si>
    <t>Allows users to narrow down villages by name, region, or specialty.</t>
  </si>
  <si>
    <t>Search keywords, filter/sort options</t>
  </si>
  <si>
    <t>Updated and filtered village list</t>
  </si>
  <si>
    <t>F-DIR-03</t>
  </si>
  <si>
    <t>Retrieve and show village information</t>
  </si>
  <si>
    <t>Fetches a 360-degree view of a village (Photos, Description, Tours, Ratings).</t>
  </si>
  <si>
    <t>Village ID</t>
  </si>
  <si>
    <t>Village detail page interface</t>
  </si>
  <si>
    <t>F-DIR-04</t>
  </si>
  <si>
    <t>Returns the user to the filtered directory view or the main homepage.</t>
  </si>
  <si>
    <t>Back button</t>
  </si>
  <si>
    <t>Previous directory view or homepage</t>
  </si>
  <si>
    <t>F-DIR-05</t>
  </si>
  <si>
    <t>Select Available Tour</t>
  </si>
  <si>
    <t>Display list of current tours</t>
  </si>
  <si>
    <t>Shows a list of all currently published tours available for travel agencies.</t>
  </si>
  <si>
    <t>Access request, pagination</t>
  </si>
  <si>
    <t>Tour list interface with summary info</t>
  </si>
  <si>
    <t>F-DIR-06</t>
  </si>
  <si>
    <t>Filter and sort tours by date, location, or theme</t>
  </si>
  <si>
    <t>Provides options to sort tours by price, date, or specific themes.</t>
  </si>
  <si>
    <t>Filter criteria (Date, Price, Theme)</t>
  </si>
  <si>
    <t>Filtered list of tours</t>
  </si>
  <si>
    <t>F-DIR-07</t>
  </si>
  <si>
    <t>Retrieve and show tour information</t>
  </si>
  <si>
    <t>Displays comprehensive details of a selected tour (Schedule, pricing, media).</t>
  </si>
  <si>
    <t>Tour ID</t>
  </si>
  <si>
    <t>Tour detail page interface</t>
  </si>
  <si>
    <t>F-DIR-08</t>
  </si>
  <si>
    <t>Match Craft Villages</t>
  </si>
  <si>
    <t>Display matching button on village interface</t>
  </si>
  <si>
    <t>Displays the "Match" button strictly for Travel Agencies on village profiles.</t>
  </si>
  <si>
    <t>User Role (Travel Agency)</t>
  </si>
  <si>
    <t>Interactive "Match" button visible on UI</t>
  </si>
  <si>
    <t>F-DIR-09</t>
  </si>
  <si>
    <t>Trigger matching request process</t>
  </si>
  <si>
    <t>Initiates a partnership request by creating a record in the Matching Database.</t>
  </si>
  <si>
    <t>Agency ID, Village ID</t>
  </si>
  <si>
    <t>"Pending" matching record created in DB</t>
  </si>
  <si>
    <t>F-DIR-10</t>
  </si>
  <si>
    <t>Display matching request confirmation</t>
  </si>
  <si>
    <t>Alerts the agency that the request was sent and updates the button status.</t>
  </si>
  <si>
    <t>Success status from F-DIR-09</t>
  </si>
  <si>
    <t>"Matching Request sent successfully" pop-up</t>
  </si>
  <si>
    <t>F-DIR-11</t>
  </si>
  <si>
    <t>Display matching request status list</t>
  </si>
  <si>
    <t>Dashboard for agencies to track status (Pending, Accepted, Rejected) of matches.</t>
  </si>
  <si>
    <t>Travel Agency ID</t>
  </si>
  <si>
    <t>List of requests with current statuses</t>
  </si>
  <si>
    <t>F-CONTRACT-01</t>
  </si>
  <si>
    <t>E-Contract Management</t>
  </si>
  <si>
    <t>View e-Contract</t>
  </si>
  <si>
    <t>Display e-Contract list</t>
  </si>
  <si>
    <t>Shows all contracts related to the user, filtered by their role and status.</t>
  </si>
  <si>
    <t>User ID, User Role</t>
  </si>
  <si>
    <t>Contract list/table interface</t>
  </si>
  <si>
    <t>F-CONTRACT-02</t>
  </si>
  <si>
    <t>Retrieve and display e-Contract details</t>
  </si>
  <si>
    <t>Fetches terms, parties info, and negotiation history for detailed review.</t>
  </si>
  <si>
    <t>Contract ID, User ID</t>
  </si>
  <si>
    <t>Detailed contract view or PDF preview</t>
  </si>
  <si>
    <t>F-CONTRACT-03</t>
  </si>
  <si>
    <t>Navigates the user back to the contract list or their dashboard.</t>
  </si>
  <si>
    <t>Close or Back button click</t>
  </si>
  <si>
    <t>Previous contract list or dashboard</t>
  </si>
  <si>
    <t>F-CONTRACT-04</t>
  </si>
  <si>
    <t>Create e-Contract</t>
  </si>
  <si>
    <t>Auto-generate e-Contract from template</t>
  </si>
  <si>
    <t>Automatically pre-fills a standard template with data from user profiles.</t>
  </si>
  <si>
    <t>Match ID / Request ID</t>
  </si>
  <si>
    <t>Pre-filled digital contract form</t>
  </si>
  <si>
    <t>F-CONTRACT-05</t>
  </si>
  <si>
    <t xml:space="preserve">Capture and validate e-Contract inputs </t>
  </si>
  <si>
    <t>Records commercial terms (Price, Dates) entered by the agency.</t>
  </si>
  <si>
    <t>Price, Dates, Service details</t>
  </si>
  <si>
    <t>Validated contract data object</t>
  </si>
  <si>
    <t>F-CONTRACT-06</t>
  </si>
  <si>
    <t>Save e-Contract and set Pending status</t>
  </si>
  <si>
    <t>Saves the contract into the DB and makes it visible to the Craft Village.</t>
  </si>
  <si>
    <t>Validated contract object</t>
  </si>
  <si>
    <t>"Pending Review" status in DB</t>
  </si>
  <si>
    <t>F-CONTRACT-07</t>
  </si>
  <si>
    <t>Display success notification and notify Craft Village</t>
  </si>
  <si>
    <t>Confirms creation to agency and sends a notification to the village partner.</t>
  </si>
  <si>
    <t>Success status from F-CONTRACT-06</t>
  </si>
  <si>
    <t>Success message UI + System notification</t>
  </si>
  <si>
    <t>F-CONTRACT-08</t>
  </si>
  <si>
    <t>Edit e-Contract</t>
  </si>
  <si>
    <t>Validate updated inputs and maintain version history</t>
  </si>
  <si>
    <t>Validates negotiation edits and logs the changes for transparency.</t>
  </si>
  <si>
    <t>Modified fields, User ID</t>
  </si>
  <si>
    <t>Pass/Fail status and audit log entry</t>
  </si>
  <si>
    <t>F-CONTRACT-09</t>
  </si>
  <si>
    <t>Update e-Contract data and notify Craft Village</t>
  </si>
  <si>
    <t>Commits updated terms to DB and alerts the other party to review edits.</t>
  </si>
  <si>
    <t>Validated data, Partner ID</t>
  </si>
  <si>
    <t>Updated record and alert notification</t>
  </si>
  <si>
    <t>F-CONTRACT-10</t>
  </si>
  <si>
    <t>Accept e-Contract</t>
  </si>
  <si>
    <t>Update e-Contract to finalized status</t>
  </si>
  <si>
    <t>Permanently locks the contract as "Accepted" once the village confirms.</t>
  </si>
  <si>
    <t>Craft Village</t>
  </si>
  <si>
    <t>"Finalized" status in DB</t>
  </si>
  <si>
    <t>F-CONTRACT-11</t>
  </si>
  <si>
    <t>Display success confirmation message</t>
  </si>
  <si>
    <t>Provides visual feedback that the contract is now officially agreed upon.</t>
  </si>
  <si>
    <t>Success status from F-CONTRACT-10</t>
  </si>
  <si>
    <t>"Contract accepted successfully" message</t>
  </si>
  <si>
    <t>F-CONTRACT-12</t>
  </si>
  <si>
    <t>Generate digital signature page</t>
  </si>
  <si>
    <t>Creates a final PDF including a verification log of both parties and a hash.</t>
  </si>
  <si>
    <t>Finalized data, timestamps</t>
  </si>
  <si>
    <t>Downloadable Finalized PDF document</t>
  </si>
  <si>
    <t>F-TOUR-01</t>
  </si>
  <si>
    <t>Tour Management</t>
  </si>
  <si>
    <t>Upload New Tour</t>
  </si>
  <si>
    <t>Render form for uploading a tour</t>
  </si>
  <si>
    <t>Displays a blank form for the Village to enter new tour details.</t>
  </si>
  <si>
    <t>Request to add new tour</t>
  </si>
  <si>
    <t>Blank tour creation form interface</t>
  </si>
  <si>
    <t>F-TOUR-02</t>
  </si>
  <si>
    <t>Input and validate tour information</t>
  </si>
  <si>
    <t>Captures and validates data (Price must be positive, Dates in future).</t>
  </si>
  <si>
    <t>Tour Name, Price, Schedule, etc.</t>
  </si>
  <si>
    <t>Validated tour data or error messages</t>
  </si>
  <si>
    <t>F-TOUR-03</t>
  </si>
  <si>
    <t>Save tour data and upload media files</t>
  </si>
  <si>
    <t>Stores tour record and handles image/video file uploads to storage.</t>
  </si>
  <si>
    <t>Validated data, Media files</t>
  </si>
  <si>
    <t>New Tour ID and success message</t>
  </si>
  <si>
    <t>F-TOUR-04</t>
  </si>
  <si>
    <t>Make tour publicly visible on the platform</t>
  </si>
  <si>
    <t>Updates tour status from "Draft" to "Published" for Agency visibility.</t>
  </si>
  <si>
    <t>"Tour published successfully" message</t>
  </si>
  <si>
    <t>F-TOUR-05</t>
  </si>
  <si>
    <t>Edit Tour</t>
  </si>
  <si>
    <t>Retrieve and display existing tour for editing</t>
  </si>
  <si>
    <t>Fetches stored data of an existing tour and populates it into the edit form.</t>
  </si>
  <si>
    <t>Pre-filled tour editing form</t>
  </si>
  <si>
    <t>F-TOUR-06</t>
  </si>
  <si>
    <t>Modify tour information such as title, description, and media</t>
  </si>
  <si>
    <t>Re-validates the updated fields (Title, Description, Media) before saving.</t>
  </si>
  <si>
    <t>New form data entered by user</t>
  </si>
  <si>
    <t>Validated updated data or error messages</t>
  </si>
  <si>
    <t>F-TOUR-07</t>
  </si>
  <si>
    <t>Save updated tour information to the database</t>
  </si>
  <si>
    <t>Persists changes to the DB and handles updating/replacing media files.</t>
  </si>
  <si>
    <t>Validated object, Tour ID</t>
  </si>
  <si>
    <t>"Update successful" message</t>
  </si>
  <si>
    <t>F-NOTI-01</t>
  </si>
  <si>
    <t>Notification Services</t>
  </si>
  <si>
    <t>Receive Notifications</t>
  </si>
  <si>
    <t xml:space="preserve">Identify system or user-triggered events that require notification
</t>
  </si>
  <si>
    <t>A background process that detects specific actions (matching, contract signing, etc.) that require an alert.</t>
  </si>
  <si>
    <t>System events (e.g., match request, account approval)</t>
  </si>
  <si>
    <t>Event flag containing event type and relevant IDs</t>
  </si>
  <si>
    <t>F-NOTI-02</t>
  </si>
  <si>
    <t>Create notification message and assign target recipient(s)</t>
  </si>
  <si>
    <t>Constructs the message content using predefined templates and identifies the correct recipient(s).</t>
  </si>
  <si>
    <t>Event flag, notification templates</t>
  </si>
  <si>
    <t>Complete notification object (Receiver ID, Title, Body)</t>
  </si>
  <si>
    <t>F-NOTI-03</t>
  </si>
  <si>
    <t>Deliver notification via in-app or email channels</t>
  </si>
  <si>
    <t>Dispatches the notification through designated channels based on user preferences.</t>
  </si>
  <si>
    <t>Notification object, User preferences</t>
  </si>
  <si>
    <t>Sent notification (In-app/Email) and delivery log</t>
  </si>
  <si>
    <t>F-NOTI-04</t>
  </si>
  <si>
    <t>Show received notifications on the user dashboard</t>
  </si>
  <si>
    <t>Fetches and displays a list of unread and past notifications in the user's notification center.</t>
  </si>
  <si>
    <t>Formatted list of notifications sorted by date</t>
  </si>
  <si>
    <t>F-RT-01</t>
  </si>
  <si>
    <t>Ratings</t>
  </si>
  <si>
    <t xml:space="preserve">View Ratings
</t>
  </si>
  <si>
    <t>Display rating interface (e.g., stars, comment box)</t>
  </si>
  <si>
    <t>Renders the UI components (stars, progress bars) for users to see the overall feedback.</t>
  </si>
  <si>
    <t>Request to view ratings</t>
  </si>
  <si>
    <t>Rating interface shell</t>
  </si>
  <si>
    <t>F-RT-02</t>
  </si>
  <si>
    <t>Fetch rating information from the database</t>
  </si>
  <si>
    <t>Queries the database for all approved ratings and comments linked to a specific village or tour.</t>
  </si>
  <si>
    <t>Village ID or Tour ID</t>
  </si>
  <si>
    <t>Collection of raw rating records</t>
  </si>
  <si>
    <t>F-RT-03</t>
  </si>
  <si>
    <t>Show overall average rating and number of reviews</t>
  </si>
  <si>
    <t>Performs calculations to display the mean score and the total volume of feedback received.</t>
  </si>
  <si>
    <t>Collection of rating data</t>
  </si>
  <si>
    <t>Average star score and total count (e.g., 4.5 stars, 120 reviews)</t>
  </si>
  <si>
    <t>F-RT-04</t>
  </si>
  <si>
    <t>Present individual ratings with reviewer name, score, and comment</t>
  </si>
  <si>
    <t>Renders the detailed list of reviews, including names (anonymized if needed), scores, and text.</t>
  </si>
  <si>
    <t>Detailed review list on UI</t>
  </si>
  <si>
    <t>F-RT-05</t>
  </si>
  <si>
    <t xml:space="preserve">Enable filtering or sorting by score, date, or reviewer
</t>
  </si>
  <si>
    <t>Allows users to re-order the list (e.g., newest first) or filter by specific star levels.</t>
  </si>
  <si>
    <t>Sort/Filter criteria (e.g., "5 stars only")</t>
  </si>
  <si>
    <t>Re-rendered list based on criteria</t>
  </si>
  <si>
    <t>F-RT-06</t>
  </si>
  <si>
    <t>Send Ratings</t>
  </si>
  <si>
    <t>Allow user to select a rating score and enter an optional comment</t>
  </si>
  <si>
    <t>Captures user interactions with the star selector and the text area for review submission.</t>
  </si>
  <si>
    <t>Travel Agency, Craft Village</t>
  </si>
  <si>
    <t>Star selection (1-5), Comment text</t>
  </si>
  <si>
    <t>Unvalidated rating data object</t>
  </si>
  <si>
    <t>F-RT-07</t>
  </si>
  <si>
    <t>Check that rating value is valid and required fields are completed</t>
  </si>
  <si>
    <t>Ensures mandatory fields (stars) are filled and checks for forbidden language or character limits.</t>
  </si>
  <si>
    <t>Unvalidated rating data</t>
  </si>
  <si>
    <t>Validation status (Pass/Fail) or Error message</t>
  </si>
  <si>
    <t>F-RT-08</t>
  </si>
  <si>
    <t>Send rating data to the system and store it in the database</t>
  </si>
  <si>
    <t>Persists the validated review into the DB and updates the average score of the subject entity.</t>
  </si>
  <si>
    <t>Validated rating object, User ID</t>
  </si>
  <si>
    <t>Saved record in database</t>
  </si>
  <si>
    <t>F-RT-09</t>
  </si>
  <si>
    <t>Display success message and update rating list in real time</t>
  </si>
  <si>
    <t>Provides immediate visual confirmation and refreshes the rating list without a page reload.</t>
  </si>
  <si>
    <t>Success status from F-RT-08</t>
  </si>
  <si>
    <t>Success toast message and updated review view</t>
  </si>
  <si>
    <t>F-CRM-01</t>
  </si>
  <si>
    <t>Chat</t>
  </si>
  <si>
    <t>Start a chat conversation with support or another user</t>
  </si>
  <si>
    <t>Initiates a new chat session after verifying the "Accepted Matching" precondition between parties.</t>
  </si>
  <si>
    <t>Initiator ID, Recipient ID</t>
  </si>
  <si>
    <t>Active chat window and session ID</t>
  </si>
  <si>
    <t>F-CRM-02</t>
  </si>
  <si>
    <t>Transmit a text message during a chat session</t>
  </si>
  <si>
    <t>Captures text input from the sender and transmits it over the real-time server.</t>
  </si>
  <si>
    <t>Message content, Active session ID</t>
  </si>
  <si>
    <t>Message delivered to server</t>
  </si>
  <si>
    <t>F-CRM-03</t>
  </si>
  <si>
    <t>Display incoming messages in real time</t>
  </si>
  <si>
    <t>Actively listens for server responses and appends new messages to the recipient's window instantly.</t>
  </si>
  <si>
    <t>New message data from server</t>
  </si>
  <si>
    <t>Rendered message in the conversation history</t>
  </si>
  <si>
    <t>F-CRM-04</t>
  </si>
  <si>
    <t>Terminate chat and save conversation record</t>
  </si>
  <si>
    <t>Closes the active session and ensures the entire conversation log is archived for future reference.</t>
  </si>
  <si>
    <t>Session ID, Close action</t>
  </si>
  <si>
    <t>Archived chat history and closed UI</t>
  </si>
  <si>
    <t>F-ADMIN-01</t>
  </si>
  <si>
    <t>Platform Administration</t>
  </si>
  <si>
    <t>Approve Account</t>
  </si>
  <si>
    <t>Retrieve and display the list of unapproved user accounts</t>
  </si>
  <si>
    <t>Fetches and displays all user accounts currently in a "Pending Approval" state for admin review.</t>
  </si>
  <si>
    <t>Admin</t>
  </si>
  <si>
    <t>Admin session, filter criteria</t>
  </si>
  <si>
    <t>List of pending accounts with summary info (Name, Type, Date)</t>
  </si>
  <si>
    <t>F-ADMIN-02</t>
  </si>
  <si>
    <t>Access detailed information and uploaded documents</t>
  </si>
  <si>
    <t>Allows admin to view complete profile data and examine business licenses or IDs submitted during registration.</t>
  </si>
  <si>
    <t>Selected User ID</t>
  </si>
  <si>
    <t>Detailed profile view and links to/previews of uploaded documents</t>
  </si>
  <si>
    <t>F-ADMIN-03</t>
  </si>
  <si>
    <t>Confirm approval and activate user access</t>
  </si>
  <si>
    <t>Formally updates the account status to "Active" and grants the user full system access.</t>
  </si>
  <si>
    <t>User ID, approval confirmation</t>
  </si>
  <si>
    <t>Success message and updated "Active" status in database</t>
  </si>
  <si>
    <t>F-ADMIN-04</t>
  </si>
  <si>
    <t>Reject Account</t>
  </si>
  <si>
    <t>Retrieve and display accounts awaiting review</t>
  </si>
  <si>
    <t>Displays the queue of unprocessed accounts specifically for the rejection workflow.</t>
  </si>
  <si>
    <t>Admin session</t>
  </si>
  <si>
    <t>Table of pending accounts ready for processing</t>
  </si>
  <si>
    <t>F-ADMIN-05</t>
  </si>
  <si>
    <t>Check submitted information and reasons for rejection</t>
  </si>
  <si>
    <t>Evaluates applicant data and provides an interface to select or type valid reasons for denying access.</t>
  </si>
  <si>
    <t>User ID, rejection categories/text</t>
  </si>
  <si>
    <t>Validated rejection reason data object</t>
  </si>
  <si>
    <t>F-ADMIN-06</t>
  </si>
  <si>
    <t>Mark the account as rejected and send rejection notification</t>
  </si>
  <si>
    <t>Updates account status to "Rejected" and dispatches an official notice explaining the decision to the user.</t>
  </si>
  <si>
    <t>User ID, validated rejection reason</t>
  </si>
  <si>
    <t>Success message and dispatched rejection notification</t>
  </si>
  <si>
    <t>F-ADMIN-07</t>
  </si>
  <si>
    <t>View Account</t>
  </si>
  <si>
    <t>Use search/filter options to locate the user</t>
  </si>
  <si>
    <t>Provides a comprehensive search engine to find any registered user by name, email, role, or status.</t>
  </si>
  <si>
    <t>Search keywords, filter parameters (Role, Status)</t>
  </si>
  <si>
    <t>Filtered list of matching user accounts</t>
  </si>
  <si>
    <t>F-ADMIN-08</t>
  </si>
  <si>
    <t>Choose a specific user from the search output</t>
  </si>
  <si>
    <t>Selects a single user record from the results list to prepare for a deep-dive data view.</t>
  </si>
  <si>
    <t>Click event on User row/ID</t>
  </si>
  <si>
    <t>Navigation trigger to the individual account detail view</t>
  </si>
  <si>
    <t>F-ADMIN-09</t>
  </si>
  <si>
    <t>Display full profile, activity log, and status</t>
  </si>
  <si>
    <t>Shows a "360-degree" view of a user including their profile, activity timeline, and standing across modules.</t>
  </si>
  <si>
    <t>Comprehensive account dashboard (Profile, History, Logs)</t>
  </si>
  <si>
    <t>F-ADMIN-10</t>
  </si>
  <si>
    <t>Ban Account</t>
  </si>
  <si>
    <t>Detect accounts violating community or platform rules</t>
  </si>
  <si>
    <t>Identifies accounts flagged by system algorithms or user reports for suspicious behavior or violations.</t>
  </si>
  <si>
    <t>System alerts, user reports, account data</t>
  </si>
  <si>
    <t>Violator ID and compiled evidence data</t>
  </si>
  <si>
    <t>F-ADMIN-11</t>
  </si>
  <si>
    <t>Restrict access and update account status to “banned”</t>
  </si>
  <si>
    <t>Revokes all access permissions immediately and updates the system record to a permanent or temporary "Banned" state.</t>
  </si>
  <si>
    <t>User ID, ban duration, reason</t>
  </si>
  <si>
    <t>Success message and updated "Banned" status in DB</t>
  </si>
  <si>
    <t>F-ADMIN-12</t>
  </si>
  <si>
    <t>Send notification informing user of the ban reason and duration</t>
  </si>
  <si>
    <t>Dispatches an official security alert to the banned user detailing the rules violated and the duration of the ban.</t>
  </si>
  <si>
    <t>User ID, ban details</t>
  </si>
  <si>
    <t>Dispatched ban notification (Email/In-app)</t>
  </si>
  <si>
    <t>F-ADMIN-13</t>
  </si>
  <si>
    <t>View Dashboard</t>
  </si>
  <si>
    <t>Display main dashboard overview for administrators</t>
  </si>
  <si>
    <t>Provides a high-level cockpit view of platform KPIs such as total registrations, active contracts, and recent matches.</t>
  </si>
  <si>
    <t>Graphical dashboard with summary metrics and real-time stats</t>
  </si>
  <si>
    <t>F-ADMIN-14</t>
  </si>
  <si>
    <t>Access logs of matching activities and outcomes</t>
  </si>
  <si>
    <t>Lists the chronological history of interactions between Agencies and Villages to monitor partnership trends.</t>
  </si>
  <si>
    <t>Date range, village/agency filters</t>
  </si>
  <si>
    <t>Audit log of matching requests and their final outcomes</t>
  </si>
  <si>
    <t>F-ADMIN-15</t>
  </si>
  <si>
    <t>Review performance and user engagement reports</t>
  </si>
  <si>
    <t>Aggregates and analyzes data on tour popularity, contract signing speed, and overall user activity levels.</t>
  </si>
  <si>
    <t>Report type, time period</t>
  </si>
  <si>
    <t>Data-heavy performance report (Raw data or PDF)</t>
  </si>
  <si>
    <t>F-ADMIN-16</t>
  </si>
  <si>
    <t>Produce data visualizations and key metrics summaries</t>
  </si>
  <si>
    <t>Converts complex platform data into easy-to-read charts and graphs for Department of Tourism oversight.</t>
  </si>
  <si>
    <t>Aggregated metrics data</t>
  </si>
  <si>
    <t>Interactive visual charts (Bar, Pie, Line) on dashboard</t>
  </si>
  <si>
    <t>F-ADMIN-17</t>
  </si>
  <si>
    <t>Send notifications</t>
  </si>
  <si>
    <t>Display notification management dashboard</t>
  </si>
  <si>
    <t>Access point for admins to oversee broadcast communications and view history of sent system alerts.</t>
  </si>
  <si>
    <t>Notification management interface showing history</t>
  </si>
  <si>
    <t>F-ADMIN-18</t>
  </si>
  <si>
    <t>Enter title, message content, and recipient group</t>
  </si>
  <si>
    <t>Composes a new broadcast or targeted message for a specific segment (e.g., "All Craft Villages in Hanoi").</t>
  </si>
  <si>
    <t>Title, Body text, Recipient criteria</t>
  </si>
  <si>
    <t>Draft notification object</t>
  </si>
  <si>
    <t>F-ADMIN-19</t>
  </si>
  <si>
    <t>Show notification preview before sending</t>
  </si>
  <si>
    <t>Renders a mock-up of the message to ensure formatting, links, and content appear correctly to end-users.</t>
  </si>
  <si>
    <t>Preview interface showing end-user view</t>
  </si>
  <si>
    <t>F-ADMIN-20</t>
  </si>
  <si>
    <t>Dispatch notification to selected users or user groups</t>
  </si>
  <si>
    <t>Queues and dispatches the verified notification to the target audience across the selected channels.</t>
  </si>
  <si>
    <t>Finalized notification, target list</t>
  </si>
  <si>
    <t>Success acknowledgement and background job ID</t>
  </si>
  <si>
    <t>F-ADMIN-21</t>
  </si>
  <si>
    <t>Display confirmation of successful or failed sends</t>
  </si>
  <si>
    <t>Provides real-time tracking of delivery rates and logs any errors encountered during the dispatch.</t>
  </si>
  <si>
    <t>Delivery status logs</t>
  </si>
  <si>
    <t>Delivery report summary (Success/Fail counts)</t>
  </si>
  <si>
    <t>F-ADMIN-22</t>
  </si>
  <si>
    <t>Select Craft Villages (For Suggestion)</t>
  </si>
  <si>
    <t>Open suggestion management interface</t>
  </si>
  <si>
    <t>Navigates to the specialized module used to curate and recommend villages to Travel Agencies.</t>
  </si>
  <si>
    <t>Village suggestion module workspace</t>
  </si>
  <si>
    <t>F-ADMIN-23</t>
  </si>
  <si>
    <t>Search and filter craft villages</t>
  </si>
  <si>
    <t>Allows the admin to filter the directory to find villages that meet the criteria for official promotion.</t>
  </si>
  <si>
    <t>Search keywords, region/specialty filters</t>
  </si>
  <si>
    <t>List of eligible craft villages for recommendation</t>
  </si>
  <si>
    <t>F-ADMIN-24</t>
  </si>
  <si>
    <t>Display specific craft village details</t>
  </si>
  <si>
    <t>Shows a deep-dive view of a village's internal performance, ratings, and details to evaluate suitability for suggestion.</t>
  </si>
  <si>
    <t>Detailed evaluative view of the village profile</t>
  </si>
  <si>
    <t>F-ADMIN-25</t>
  </si>
  <si>
    <t>Suggest Craft Villages</t>
  </si>
  <si>
    <t>Select village for suggestion</t>
  </si>
  <si>
    <t>Marks the chosen village(s) for the finalization of the recommendation process.</t>
  </si>
  <si>
    <t>Selection action (checkbox/button)</t>
  </si>
  <si>
    <t>Highlighted selection state in the queue</t>
  </si>
  <si>
    <t>F-ADMIN-26</t>
  </si>
  <si>
    <t>Capture justification or highlight notes for suggestion</t>
  </si>
  <si>
    <t>Records the admin's professional rationale and endorsement notes to accompany the suggestion.</t>
  </si>
  <si>
    <t>Justification text (string)</t>
  </si>
  <si>
    <t>Validated rationale object</t>
  </si>
  <si>
    <t>F-ADMIN-27</t>
  </si>
  <si>
    <t>Record suggestion to database</t>
  </si>
  <si>
    <t>Saves the official recommendation link and the rationale into the Suggestion Database.</t>
  </si>
  <si>
    <t>Admin ID, Village ID, Justification</t>
  </si>
  <si>
    <t>New saved record in the Suggestions Database</t>
  </si>
  <si>
    <t>F-ADMIN-28</t>
  </si>
  <si>
    <t>Display success message and notify Travel Agencies</t>
  </si>
  <si>
    <t>Broadcaster function that confirms the save and alerts all Travel Agencies to the new recommendation.</t>
  </si>
  <si>
    <t>Success status from F-ADMIN-27</t>
  </si>
  <si>
    <t>Success UI confirmation and pushed broadcast notification</t>
  </si>
  <si>
    <t xml:space="preserve">Subtotal </t>
  </si>
  <si>
    <t>Data Functions</t>
  </si>
  <si>
    <t>Users (Data File)</t>
  </si>
  <si>
    <t>Central repository for user identity, security credentials, and roles.</t>
  </si>
  <si>
    <t>Registration data, password updates, Admin approval/rejection status.</t>
  </si>
  <si>
    <t>Authentication results, role-based access permissions, profile identity data.</t>
  </si>
  <si>
    <t>Authentication System (Interface)</t>
  </si>
  <si>
    <t>External service interface (Google Auth/OTP) for secure user verification.</t>
  </si>
  <si>
    <t>Login credentials (Email/Password), requested OTP codes.</t>
  </si>
  <si>
    <t>Authentication tokens, session status, login verification confirmation.</t>
  </si>
  <si>
    <t>Business Registration Portal (Interface)</t>
  </si>
  <si>
    <t>External API used to verify the legal standing of Travel Agencies and Craft Villages.</t>
  </si>
  <si>
    <t>Agency Tax ID, Business License number.</t>
  </si>
  <si>
    <t>Official legal status, business verification status, official entity name.</t>
  </si>
  <si>
    <t>Craft Villages Directory (Data File)</t>
  </si>
  <si>
    <t>Comprehensive database of village profiles, cultural specialties, and geolocation.</t>
  </si>
  <si>
    <t>Profile descriptions, cultural specialty data, map coordinates, primary media.</t>
  </si>
  <si>
    <t>Search results, detailed village profiles, interactive map markers.</t>
  </si>
  <si>
    <t>Matching Requests (Data File)</t>
  </si>
  <si>
    <t>Stores partnership inquiries initiated by agencies and responses from villages.</t>
  </si>
  <si>
    <t>New partnership requests, Village response (Accept/Reject), request notes.</t>
  </si>
  <si>
    <t>Connection status dashboard, trigger for Chat and Contract feature activation.</t>
  </si>
  <si>
    <t>Map &amp; Geolocation Service (Interface)</t>
  </si>
  <si>
    <t>External map engine (e.g., Google Maps) used for visualization and navigation.</t>
  </si>
  <si>
    <t>Village street addresses, Lat/Long coordinates.</t>
  </si>
  <si>
    <t>Interactive map views, distance calculations, direction overlays.</t>
  </si>
  <si>
    <t>Tours (Data File)</t>
  </si>
  <si>
    <t>Stores all tourism service packages offered by the registered craft villages.</t>
  </si>
  <si>
    <t>New tour itineraries, pricing tiers, media uploads, availability updates.</t>
  </si>
  <si>
    <t>Public tour catalog, tour data for automated e-Contract inclusion.</t>
  </si>
  <si>
    <t>Document Storage System (Interface)</t>
  </si>
  <si>
    <t>Cloud-based storage (e.g., AWS S3) for finalized PDF contracts and tour media.</t>
  </si>
  <si>
    <t>Finalized e-Contract PDF files, high-resolution images, video files.</t>
  </si>
  <si>
    <t>Secure file download URLs, image/video preview streams.</t>
  </si>
  <si>
    <t>E-Contracts (Data File)</t>
  </si>
  <si>
    <t>Legal repository for negotiated terms, digital signature logs, and contract status.</t>
  </si>
  <si>
    <t>Negotiated commercial terms, digital acceptance logs, representative IDs.</t>
  </si>
  <si>
    <t>Finalized PDF document generation, contract version history for audit.</t>
  </si>
  <si>
    <t>Ratings (Data File)</t>
  </si>
  <si>
    <t>Repository for user feedback, numerical star scores, and descriptive reviews.</t>
  </si>
  <si>
    <t>Numerical star ratings, review text comments, Admin moderation status.</t>
  </si>
  <si>
    <t>Overall average scores, verified public feedback lists, performance reports.</t>
  </si>
  <si>
    <t>Chats (Data File)</t>
  </si>
  <si>
    <t>Stores historical text messages and attachments between matched partners.</t>
  </si>
  <si>
    <t>Real-time text input, chat file attachments, active session IDs.</t>
  </si>
  <si>
    <t>Real-time conversation streams, archived message history for dispute resolution.</t>
  </si>
  <si>
    <t>Notifications Services</t>
  </si>
  <si>
    <t>Notifications (Data File)</t>
  </si>
  <si>
    <t>System-wide storage for push alerts, system warnings, and broadcast messages.</t>
  </si>
  <si>
    <t>Triggered system events (new matches, signed contracts, account bans).</t>
  </si>
  <si>
    <t>User dashboard notification lists, push notification payloads.</t>
  </si>
  <si>
    <t>Email Delivery Service (Interface)</t>
  </si>
  <si>
    <t>External gateway service (e.g., SendGrid) for outbound communication.</t>
  </si>
  <si>
    <t>Email payload data (Recipient, Subject, Body, Reset Link).</t>
  </si>
  <si>
    <t>Delivery success/fail logs, automated security and system emails.</t>
  </si>
  <si>
    <t>Administration</t>
  </si>
  <si>
    <t>Admin Suggestions (Data File)</t>
  </si>
  <si>
    <t>Curated lists of villages officially recommended by the Dept. of Tourism.</t>
  </si>
  <si>
    <t>Admin selection of villages, endorsement rationale, priority notes.</t>
  </si>
  <si>
    <t>"Suggested Pick" section on Agency dashboards, recommendation alerts.</t>
  </si>
  <si>
    <t>Activity Logs (Data File)</t>
  </si>
  <si>
    <t>Immutable audit trail recording all sensitive data changes and admin actions.</t>
  </si>
  <si>
    <t>Actor User ID, Action Type (Edit/Ban/Sign), Old/New data values.</t>
  </si>
  <si>
    <t>Security audit reports, user activity history for system oversight.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</si>
</sst>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  <fill>
      <patternFill patternType="solid">
        <fgColor rgb="FFCCCCCC"/>
        <bgColor rgb="FFCCCCCC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4" borderId="13" xfId="0" applyFont="1" applyFill="1" applyBorder="1" applyAlignment="1">
      <alignment wrapText="1"/>
    </xf>
    <xf numFmtId="0" fontId="4" fillId="4" borderId="14" xfId="0" applyFont="1" applyFill="1" applyBorder="1" applyAlignment="1">
      <alignment horizontal="center" wrapText="1"/>
    </xf>
    <xf numFmtId="0" fontId="4" fillId="4" borderId="15" xfId="0" applyFont="1" applyFill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top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49" fontId="2" fillId="0" borderId="11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7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800100</xdr:colOff>
      <xdr:row>5</xdr:row>
      <xdr:rowOff>-76200</xdr:rowOff>
    </xdr:from>
    <xdr:ext cx="6410325" cy="65722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775200" y="711200"/>
          <a:ext cx="6410325" cy="6572250"/>
          <a:chOff x="2140838" y="493875"/>
          <a:chExt cx="6410325" cy="6572250"/>
        </a:xfrm>
      </xdr:grpSpPr>
      <xdr:grpSp>
        <xdr:nvGrpSpPr>
          <xdr:cNvPr id="63" name="Shape 63" title="Bản vẽ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GrpSpPr/>
        </xdr:nvGrpSpPr>
        <xdr:grpSpPr>
          <a:xfrm>
            <a:off x="2140838" y="493875"/>
            <a:ext cx="6410325" cy="6572250"/>
            <a:chOff x="2932850" y="1858625"/>
            <a:chExt cx="4507249" cy="462369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2932850" y="1858625"/>
              <a:ext cx="4507225" cy="46236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64" name="Shape 64">
              <a:extLst>
                <a:ext uri="{FF2B5EF4-FFF2-40B4-BE49-F238E27FC236}">
                  <a16:creationId xmlns:a16="http://schemas.microsoft.com/office/drawing/2014/main" id="{00000000-0008-0000-0300-00004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932850" y="1858625"/>
              <a:ext cx="4507249" cy="4623698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V207"/>
  <sheetViews>
    <sheetView showGridLines="0" tabSelected="1" topLeftCell="A95" workbookViewId="0">
      <selection activeCell="H208" sqref="H208"/>
    </sheetView>
  </sheetViews>
  <sheetFormatPr defaultColWidth="14.453125" defaultRowHeight="15" customHeight="1"/>
  <cols>
    <col min="1" max="3" width="2.81640625" customWidth="1"/>
    <col min="4" max="4" width="5" customWidth="1"/>
    <col min="5" max="5" width="19.453125" customWidth="1"/>
    <col min="6" max="6" width="12.7265625" customWidth="1"/>
    <col min="7" max="7" width="11.26953125" customWidth="1"/>
    <col min="8" max="8" width="22.54296875" customWidth="1"/>
    <col min="9" max="12" width="8.81640625" customWidth="1"/>
    <col min="13" max="13" width="9.453125" customWidth="1"/>
    <col min="14" max="14" width="11.26953125" customWidth="1"/>
    <col min="15" max="15" width="5.26953125" customWidth="1"/>
    <col min="16" max="16" width="13.7265625" customWidth="1"/>
    <col min="17" max="17" width="14.7265625" customWidth="1"/>
    <col min="18" max="18" width="15.08984375" customWidth="1"/>
    <col min="19" max="19" width="11.81640625" customWidth="1"/>
    <col min="20" max="20" width="8.81640625" customWidth="1"/>
    <col min="21" max="21" width="13.81640625" customWidth="1"/>
    <col min="22" max="22" width="13.453125" customWidth="1"/>
  </cols>
  <sheetData>
    <row r="1" spans="1:22" ht="12" customHeight="1">
      <c r="A1" s="7"/>
      <c r="B1" s="8" t="s">
        <v>0</v>
      </c>
      <c r="C1" s="8"/>
      <c r="D1" s="2"/>
      <c r="E1" s="2"/>
      <c r="F1" s="2"/>
      <c r="G1" s="3"/>
      <c r="H1" s="2"/>
      <c r="I1" s="2"/>
      <c r="J1" s="2"/>
      <c r="K1" s="2"/>
      <c r="L1" s="2"/>
      <c r="M1" s="4"/>
      <c r="N1" s="2"/>
      <c r="O1" s="2"/>
      <c r="P1" s="2"/>
      <c r="Q1" s="5"/>
      <c r="R1" s="5"/>
      <c r="S1" s="2"/>
      <c r="T1" s="2"/>
      <c r="U1" s="2"/>
      <c r="V1" s="9"/>
    </row>
    <row r="2" spans="1:22" ht="12.75" customHeight="1">
      <c r="A2" s="7"/>
      <c r="B2" s="8"/>
      <c r="C2" s="8" t="s">
        <v>1</v>
      </c>
      <c r="D2" s="2"/>
      <c r="E2" s="2"/>
      <c r="F2" s="2"/>
      <c r="G2" s="3"/>
      <c r="H2" s="2"/>
      <c r="I2" s="2"/>
      <c r="J2" s="2"/>
      <c r="K2" s="2"/>
      <c r="L2" s="2"/>
      <c r="M2" s="4"/>
      <c r="N2" s="2"/>
      <c r="O2" s="2"/>
      <c r="P2" s="2"/>
      <c r="Q2" s="5"/>
      <c r="R2" s="5"/>
      <c r="S2" s="2"/>
      <c r="T2" s="2"/>
      <c r="U2" s="2"/>
      <c r="V2" s="9"/>
    </row>
    <row r="3" spans="1:22" ht="12.75" customHeight="1">
      <c r="A3" s="7"/>
      <c r="B3" s="8"/>
      <c r="C3" s="8"/>
      <c r="D3" s="1" t="s">
        <v>2</v>
      </c>
      <c r="E3" s="2"/>
      <c r="F3" s="2"/>
      <c r="G3" s="3"/>
      <c r="H3" s="2"/>
      <c r="I3" s="2"/>
      <c r="J3" s="2"/>
      <c r="K3" s="2"/>
      <c r="L3" s="2"/>
      <c r="M3" s="4"/>
      <c r="N3" s="2"/>
      <c r="O3" s="2"/>
      <c r="P3" s="2"/>
      <c r="Q3" s="5"/>
      <c r="R3" s="5"/>
      <c r="S3" s="2"/>
      <c r="T3" s="2"/>
      <c r="U3" s="2"/>
      <c r="V3" s="9"/>
    </row>
    <row r="4" spans="1:22" ht="12.75" customHeight="1">
      <c r="A4" s="7"/>
      <c r="B4" s="8"/>
      <c r="C4" s="8"/>
      <c r="D4" s="1"/>
      <c r="E4" s="2"/>
      <c r="F4" s="2"/>
      <c r="G4" s="3"/>
      <c r="H4" s="2"/>
      <c r="I4" s="2"/>
      <c r="J4" s="2"/>
      <c r="K4" s="2"/>
      <c r="L4" s="2"/>
      <c r="M4" s="4"/>
      <c r="N4" s="2"/>
      <c r="O4" s="2"/>
      <c r="P4" s="2"/>
      <c r="Q4" s="5"/>
      <c r="R4" s="5"/>
      <c r="S4" s="2"/>
      <c r="T4" s="2"/>
      <c r="U4" s="2"/>
      <c r="V4" s="9"/>
    </row>
    <row r="5" spans="1:22" ht="12.75" customHeight="1">
      <c r="A5" s="7"/>
      <c r="B5" s="8"/>
      <c r="C5" s="8"/>
      <c r="D5" s="2"/>
      <c r="E5" s="2"/>
      <c r="F5" s="2"/>
      <c r="G5" s="3"/>
      <c r="H5" s="2"/>
      <c r="I5" s="2"/>
      <c r="J5" s="2"/>
      <c r="K5" s="2"/>
      <c r="L5" s="2"/>
      <c r="M5" s="4"/>
      <c r="N5" s="2"/>
      <c r="O5" s="2"/>
      <c r="P5" s="2"/>
      <c r="Q5" s="5"/>
      <c r="R5" s="5"/>
      <c r="S5" s="2"/>
      <c r="T5" s="2"/>
      <c r="U5" s="2"/>
      <c r="V5" s="9"/>
    </row>
    <row r="6" spans="1:22" ht="12.75" customHeight="1">
      <c r="A6" s="7"/>
      <c r="B6" s="8"/>
      <c r="C6" s="8"/>
      <c r="D6" s="2"/>
      <c r="E6" s="2"/>
      <c r="F6" s="2"/>
      <c r="G6" s="3"/>
      <c r="H6" s="2"/>
      <c r="I6" s="2"/>
      <c r="J6" s="2"/>
      <c r="K6" s="2"/>
      <c r="L6" s="2"/>
      <c r="M6" s="4"/>
      <c r="N6" s="2"/>
      <c r="O6" s="2"/>
      <c r="P6" s="2"/>
      <c r="Q6" s="5"/>
      <c r="R6" s="5"/>
      <c r="S6" s="2"/>
      <c r="T6" s="2"/>
      <c r="U6" s="2"/>
      <c r="V6" s="9"/>
    </row>
    <row r="7" spans="1:22" ht="12.75" customHeight="1">
      <c r="A7" s="7"/>
      <c r="B7" s="8"/>
      <c r="C7" s="8"/>
      <c r="D7" s="2"/>
      <c r="E7" s="2"/>
      <c r="F7" s="2"/>
      <c r="G7" s="3"/>
      <c r="H7" s="2"/>
      <c r="I7" s="2"/>
      <c r="J7" s="2"/>
      <c r="K7" s="2"/>
      <c r="L7" s="2"/>
      <c r="M7" s="4"/>
      <c r="N7" s="2"/>
      <c r="O7" s="2"/>
      <c r="P7" s="2"/>
      <c r="Q7" s="5"/>
      <c r="R7" s="5"/>
      <c r="S7" s="2"/>
      <c r="T7" s="2"/>
      <c r="U7" s="2"/>
      <c r="V7" s="9"/>
    </row>
    <row r="8" spans="1:22" ht="12.75" customHeight="1">
      <c r="A8" s="7"/>
      <c r="B8" s="8"/>
      <c r="C8" s="8"/>
      <c r="D8" s="2"/>
      <c r="E8" s="2"/>
      <c r="F8" s="2"/>
      <c r="G8" s="3"/>
      <c r="H8" s="2"/>
      <c r="I8" s="2"/>
      <c r="J8" s="2"/>
      <c r="K8" s="2"/>
      <c r="L8" s="2"/>
      <c r="M8" s="4"/>
      <c r="N8" s="2"/>
      <c r="O8" s="2"/>
      <c r="P8" s="2"/>
      <c r="Q8" s="5"/>
      <c r="R8" s="5"/>
      <c r="S8" s="2"/>
      <c r="T8" s="2"/>
      <c r="U8" s="2"/>
      <c r="V8" s="9"/>
    </row>
    <row r="9" spans="1:22" ht="12.75" customHeight="1">
      <c r="A9" s="7"/>
      <c r="B9" s="8"/>
      <c r="C9" s="8"/>
      <c r="D9" s="2"/>
      <c r="E9" s="2"/>
      <c r="F9" s="2"/>
      <c r="G9" s="3"/>
      <c r="H9" s="2"/>
      <c r="I9" s="2"/>
      <c r="J9" s="2"/>
      <c r="K9" s="2"/>
      <c r="L9" s="2"/>
      <c r="M9" s="4"/>
      <c r="N9" s="2"/>
      <c r="O9" s="2"/>
      <c r="P9" s="2"/>
      <c r="Q9" s="5"/>
      <c r="R9" s="5"/>
      <c r="S9" s="2"/>
      <c r="T9" s="2"/>
      <c r="U9" s="2"/>
      <c r="V9" s="9"/>
    </row>
    <row r="10" spans="1:22" ht="12.75" customHeight="1">
      <c r="A10" s="7"/>
      <c r="B10" s="8"/>
      <c r="C10" s="8"/>
      <c r="D10" s="2"/>
      <c r="E10" s="2"/>
      <c r="F10" s="2"/>
      <c r="G10" s="3"/>
      <c r="H10" s="2"/>
      <c r="I10" s="2"/>
      <c r="J10" s="2"/>
      <c r="K10" s="2"/>
      <c r="L10" s="2"/>
      <c r="M10" s="4"/>
      <c r="N10" s="2"/>
      <c r="O10" s="2"/>
      <c r="P10" s="2"/>
      <c r="Q10" s="5"/>
      <c r="R10" s="5"/>
      <c r="S10" s="2"/>
      <c r="T10" s="2"/>
      <c r="U10" s="2"/>
      <c r="V10" s="9"/>
    </row>
    <row r="11" spans="1:22" ht="12.75" customHeight="1">
      <c r="A11" s="7"/>
      <c r="B11" s="8"/>
      <c r="C11" s="8"/>
      <c r="D11" s="2"/>
      <c r="E11" s="2"/>
      <c r="F11" s="2"/>
      <c r="G11" s="3"/>
      <c r="H11" s="2"/>
      <c r="I11" s="2"/>
      <c r="J11" s="2"/>
      <c r="K11" s="2"/>
      <c r="L11" s="2"/>
      <c r="M11" s="4"/>
      <c r="N11" s="2"/>
      <c r="O11" s="2"/>
      <c r="P11" s="2"/>
      <c r="Q11" s="5"/>
      <c r="R11" s="5"/>
      <c r="S11" s="2"/>
      <c r="T11" s="2"/>
      <c r="U11" s="2"/>
      <c r="V11" s="9"/>
    </row>
    <row r="12" spans="1:22" ht="12.75" customHeight="1">
      <c r="A12" s="7"/>
      <c r="B12" s="8"/>
      <c r="C12" s="8"/>
      <c r="D12" s="2"/>
      <c r="E12" s="2"/>
      <c r="F12" s="2"/>
      <c r="G12" s="3"/>
      <c r="H12" s="2"/>
      <c r="I12" s="2"/>
      <c r="J12" s="2"/>
      <c r="K12" s="2"/>
      <c r="L12" s="2"/>
      <c r="M12" s="4"/>
      <c r="N12" s="2"/>
      <c r="O12" s="2"/>
      <c r="P12" s="2"/>
      <c r="Q12" s="5"/>
      <c r="R12" s="5"/>
      <c r="S12" s="2"/>
      <c r="T12" s="2"/>
      <c r="U12" s="2"/>
      <c r="V12" s="9"/>
    </row>
    <row r="13" spans="1:22" ht="12.75" customHeight="1">
      <c r="A13" s="7"/>
      <c r="B13" s="8"/>
      <c r="C13" s="8"/>
      <c r="D13" s="2"/>
      <c r="E13" s="2"/>
      <c r="F13" s="2"/>
      <c r="G13" s="3"/>
      <c r="H13" s="2"/>
      <c r="I13" s="2"/>
      <c r="J13" s="2"/>
      <c r="K13" s="2"/>
      <c r="L13" s="2"/>
      <c r="M13" s="4"/>
      <c r="N13" s="2"/>
      <c r="O13" s="2"/>
      <c r="P13" s="2"/>
      <c r="Q13" s="5"/>
      <c r="R13" s="5"/>
      <c r="S13" s="2"/>
      <c r="T13" s="2"/>
      <c r="U13" s="2"/>
      <c r="V13" s="9"/>
    </row>
    <row r="14" spans="1:22" ht="12.75" customHeight="1">
      <c r="A14" s="7"/>
      <c r="B14" s="8"/>
      <c r="C14" s="8"/>
      <c r="D14" s="2"/>
      <c r="E14" s="2"/>
      <c r="F14" s="2"/>
      <c r="G14" s="3"/>
      <c r="H14" s="2"/>
      <c r="I14" s="2"/>
      <c r="J14" s="2"/>
      <c r="K14" s="2"/>
      <c r="L14" s="2"/>
      <c r="M14" s="4"/>
      <c r="N14" s="2"/>
      <c r="O14" s="2"/>
      <c r="P14" s="2"/>
      <c r="Q14" s="5"/>
      <c r="R14" s="5"/>
      <c r="S14" s="2"/>
      <c r="T14" s="2"/>
      <c r="U14" s="2"/>
      <c r="V14" s="9"/>
    </row>
    <row r="15" spans="1:22" ht="12.75" customHeight="1">
      <c r="A15" s="7"/>
      <c r="B15" s="8"/>
      <c r="C15" s="8"/>
      <c r="D15" s="2"/>
      <c r="E15" s="2"/>
      <c r="F15" s="2"/>
      <c r="G15" s="3"/>
      <c r="H15" s="2"/>
      <c r="I15" s="2"/>
      <c r="J15" s="2"/>
      <c r="K15" s="2"/>
      <c r="L15" s="2"/>
      <c r="M15" s="4"/>
      <c r="N15" s="2"/>
      <c r="O15" s="2"/>
      <c r="P15" s="2"/>
      <c r="Q15" s="5"/>
      <c r="R15" s="5"/>
      <c r="S15" s="2"/>
      <c r="T15" s="2"/>
      <c r="U15" s="2"/>
      <c r="V15" s="9"/>
    </row>
    <row r="16" spans="1:22" ht="12.75" customHeight="1">
      <c r="A16" s="7"/>
      <c r="B16" s="8"/>
      <c r="C16" s="8"/>
      <c r="D16" s="2"/>
      <c r="E16" s="2"/>
      <c r="F16" s="2"/>
      <c r="G16" s="3"/>
      <c r="H16" s="2"/>
      <c r="I16" s="2"/>
      <c r="J16" s="2"/>
      <c r="K16" s="2"/>
      <c r="L16" s="2"/>
      <c r="M16" s="4"/>
      <c r="N16" s="2"/>
      <c r="O16" s="2"/>
      <c r="P16" s="2"/>
      <c r="Q16" s="5"/>
      <c r="R16" s="5"/>
      <c r="S16" s="2"/>
      <c r="T16" s="10"/>
      <c r="U16" s="10"/>
      <c r="V16" s="9"/>
    </row>
    <row r="17" spans="1:22" ht="12.75" customHeight="1">
      <c r="A17" s="7"/>
      <c r="B17" s="8"/>
      <c r="C17" s="8"/>
      <c r="D17" s="2"/>
      <c r="E17" s="2"/>
      <c r="F17" s="2"/>
      <c r="G17" s="3"/>
      <c r="H17" s="2"/>
      <c r="I17" s="2"/>
      <c r="J17" s="2"/>
      <c r="K17" s="2"/>
      <c r="L17" s="2"/>
      <c r="M17" s="4"/>
      <c r="N17" s="2"/>
      <c r="O17" s="2"/>
      <c r="P17" s="2"/>
      <c r="Q17" s="5"/>
      <c r="R17" s="5"/>
      <c r="S17" s="2"/>
      <c r="T17" s="2"/>
      <c r="U17" s="2"/>
      <c r="V17" s="9"/>
    </row>
    <row r="18" spans="1:22" ht="12.75" customHeight="1">
      <c r="A18" s="7"/>
      <c r="B18" s="8"/>
      <c r="C18" s="8"/>
      <c r="D18" s="2"/>
      <c r="E18" s="2"/>
      <c r="F18" s="2"/>
      <c r="G18" s="3"/>
      <c r="H18" s="2"/>
      <c r="I18" s="2"/>
      <c r="J18" s="2"/>
      <c r="K18" s="2"/>
      <c r="L18" s="2"/>
      <c r="M18" s="4"/>
      <c r="N18" s="2"/>
      <c r="O18" s="2"/>
      <c r="P18" s="2"/>
      <c r="Q18" s="5"/>
      <c r="R18" s="5"/>
      <c r="S18" s="2"/>
      <c r="T18" s="2"/>
      <c r="U18" s="2"/>
      <c r="V18" s="9"/>
    </row>
    <row r="19" spans="1:22" ht="12.75" customHeight="1">
      <c r="A19" s="7"/>
      <c r="B19" s="8"/>
      <c r="C19" s="8"/>
      <c r="D19" s="2"/>
      <c r="E19" s="2"/>
      <c r="F19" s="2"/>
      <c r="G19" s="3"/>
      <c r="H19" s="2"/>
      <c r="I19" s="2"/>
      <c r="J19" s="2"/>
      <c r="K19" s="2"/>
      <c r="L19" s="2"/>
      <c r="M19" s="4"/>
      <c r="N19" s="2"/>
      <c r="O19" s="2"/>
      <c r="P19" s="2"/>
      <c r="Q19" s="5"/>
      <c r="R19" s="5"/>
      <c r="S19" s="2"/>
      <c r="T19" s="2"/>
      <c r="U19" s="2"/>
      <c r="V19" s="9"/>
    </row>
    <row r="20" spans="1:22" ht="12.75" customHeight="1">
      <c r="A20" s="7"/>
      <c r="B20" s="8"/>
      <c r="C20" s="8"/>
      <c r="D20" s="2"/>
      <c r="E20" s="2"/>
      <c r="F20" s="2"/>
      <c r="G20" s="3"/>
      <c r="H20" s="2"/>
      <c r="I20" s="2"/>
      <c r="J20" s="2"/>
      <c r="K20" s="2"/>
      <c r="L20" s="2"/>
      <c r="M20" s="4"/>
      <c r="N20" s="2"/>
      <c r="O20" s="2"/>
      <c r="P20" s="2"/>
      <c r="Q20" s="5"/>
      <c r="R20" s="5"/>
      <c r="S20" s="2"/>
      <c r="T20" s="2"/>
      <c r="U20" s="2"/>
      <c r="V20" s="9"/>
    </row>
    <row r="21" spans="1:22" ht="12.75" customHeight="1">
      <c r="A21" s="7"/>
      <c r="B21" s="8"/>
      <c r="C21" s="8"/>
      <c r="D21" s="2"/>
      <c r="E21" s="2"/>
      <c r="F21" s="2"/>
      <c r="G21" s="3"/>
      <c r="H21" s="2"/>
      <c r="I21" s="2"/>
      <c r="J21" s="2"/>
      <c r="K21" s="2"/>
      <c r="L21" s="2"/>
      <c r="M21" s="4"/>
      <c r="N21" s="2"/>
      <c r="O21" s="2"/>
      <c r="P21" s="2"/>
      <c r="Q21" s="5"/>
      <c r="R21" s="5"/>
      <c r="S21" s="2"/>
      <c r="T21" s="2"/>
      <c r="U21" s="2"/>
      <c r="V21" s="9"/>
    </row>
    <row r="22" spans="1:22" ht="12.75" customHeight="1">
      <c r="A22" s="7"/>
      <c r="B22" s="8"/>
      <c r="C22" s="8"/>
      <c r="D22" s="2"/>
      <c r="E22" s="2"/>
      <c r="F22" s="2"/>
      <c r="G22" s="3"/>
      <c r="H22" s="2"/>
      <c r="I22" s="2"/>
      <c r="J22" s="2"/>
      <c r="K22" s="2"/>
      <c r="L22" s="2"/>
      <c r="M22" s="4"/>
      <c r="N22" s="2"/>
      <c r="O22" s="2"/>
      <c r="P22" s="2"/>
      <c r="Q22" s="5"/>
      <c r="R22" s="5"/>
      <c r="S22" s="2"/>
      <c r="T22" s="2"/>
      <c r="U22" s="2"/>
      <c r="V22" s="9"/>
    </row>
    <row r="23" spans="1:22" ht="12.75" customHeight="1">
      <c r="A23" s="7"/>
      <c r="B23" s="8"/>
      <c r="C23" s="8"/>
      <c r="D23" s="2"/>
      <c r="E23" s="2"/>
      <c r="F23" s="2"/>
      <c r="G23" s="3"/>
      <c r="H23" s="2"/>
      <c r="I23" s="2"/>
      <c r="J23" s="2"/>
      <c r="K23" s="2"/>
      <c r="L23" s="2"/>
      <c r="M23" s="4"/>
      <c r="N23" s="2"/>
      <c r="O23" s="2"/>
      <c r="P23" s="2"/>
      <c r="Q23" s="5"/>
      <c r="R23" s="5"/>
      <c r="S23" s="2"/>
      <c r="T23" s="2"/>
      <c r="U23" s="2"/>
      <c r="V23" s="9"/>
    </row>
    <row r="24" spans="1:22" ht="12.75" customHeight="1">
      <c r="A24" s="7"/>
      <c r="B24" s="8"/>
      <c r="C24" s="8"/>
      <c r="D24" s="2"/>
      <c r="E24" s="2"/>
      <c r="F24" s="2"/>
      <c r="G24" s="3"/>
      <c r="H24" s="2"/>
      <c r="I24" s="2"/>
      <c r="J24" s="2"/>
      <c r="K24" s="2"/>
      <c r="L24" s="2"/>
      <c r="M24" s="4"/>
      <c r="N24" s="2"/>
      <c r="O24" s="2"/>
      <c r="P24" s="2"/>
      <c r="Q24" s="5"/>
      <c r="R24" s="5"/>
      <c r="S24" s="2"/>
      <c r="T24" s="2"/>
      <c r="U24" s="2"/>
      <c r="V24" s="9"/>
    </row>
    <row r="25" spans="1:22" ht="12.75" customHeight="1">
      <c r="A25" s="7"/>
      <c r="B25" s="8"/>
      <c r="C25" s="8"/>
      <c r="D25" s="2"/>
      <c r="E25" s="2"/>
      <c r="F25" s="2"/>
      <c r="G25" s="3"/>
      <c r="H25" s="2"/>
      <c r="I25" s="2"/>
      <c r="J25" s="2"/>
      <c r="K25" s="2"/>
      <c r="L25" s="2"/>
      <c r="M25" s="4"/>
      <c r="N25" s="2"/>
      <c r="O25" s="2"/>
      <c r="P25" s="2"/>
      <c r="Q25" s="5"/>
      <c r="R25" s="5"/>
      <c r="S25" s="2"/>
      <c r="T25" s="2"/>
      <c r="U25" s="2"/>
      <c r="V25" s="9"/>
    </row>
    <row r="26" spans="1:22" ht="12.75" customHeight="1">
      <c r="A26" s="7"/>
      <c r="B26" s="8"/>
      <c r="C26" s="8"/>
      <c r="D26" s="2"/>
      <c r="E26" s="2"/>
      <c r="F26" s="2"/>
      <c r="G26" s="3"/>
      <c r="H26" s="2"/>
      <c r="I26" s="2"/>
      <c r="J26" s="2"/>
      <c r="K26" s="2"/>
      <c r="L26" s="2"/>
      <c r="M26" s="4"/>
      <c r="N26" s="2"/>
      <c r="O26" s="2"/>
      <c r="P26" s="2"/>
      <c r="Q26" s="5"/>
      <c r="R26" s="5"/>
      <c r="S26" s="2"/>
      <c r="T26" s="2"/>
      <c r="U26" s="2"/>
      <c r="V26" s="9"/>
    </row>
    <row r="27" spans="1:22" ht="12.75" customHeight="1">
      <c r="A27" s="7"/>
      <c r="B27" s="8"/>
      <c r="C27" s="8"/>
      <c r="D27" s="2"/>
      <c r="E27" s="2"/>
      <c r="F27" s="2"/>
      <c r="G27" s="3"/>
      <c r="H27" s="2"/>
      <c r="I27" s="2"/>
      <c r="J27" s="2"/>
      <c r="K27" s="2"/>
      <c r="L27" s="2"/>
      <c r="M27" s="4"/>
      <c r="N27" s="2"/>
      <c r="O27" s="2"/>
      <c r="P27" s="2"/>
      <c r="Q27" s="5"/>
      <c r="R27" s="5"/>
      <c r="S27" s="2"/>
      <c r="T27" s="2"/>
      <c r="U27" s="2"/>
      <c r="V27" s="9"/>
    </row>
    <row r="28" spans="1:22" ht="12.75" customHeight="1">
      <c r="A28" s="7"/>
      <c r="B28" s="8"/>
      <c r="C28" s="8"/>
      <c r="D28" s="2"/>
      <c r="E28" s="2"/>
      <c r="F28" s="2"/>
      <c r="G28" s="3"/>
      <c r="H28" s="2"/>
      <c r="I28" s="2"/>
      <c r="J28" s="2"/>
      <c r="K28" s="2"/>
      <c r="L28" s="2"/>
      <c r="M28" s="4"/>
      <c r="N28" s="2"/>
      <c r="O28" s="2"/>
      <c r="P28" s="2"/>
      <c r="Q28" s="5"/>
      <c r="R28" s="5"/>
      <c r="S28" s="2"/>
      <c r="T28" s="2"/>
      <c r="U28" s="2"/>
      <c r="V28" s="9"/>
    </row>
    <row r="29" spans="1:22" ht="12.75" customHeight="1">
      <c r="A29" s="7"/>
      <c r="B29" s="8"/>
      <c r="C29" s="8"/>
      <c r="D29" s="2"/>
      <c r="E29" s="2"/>
      <c r="F29" s="2"/>
      <c r="G29" s="3"/>
      <c r="H29" s="2"/>
      <c r="I29" s="2"/>
      <c r="J29" s="2"/>
      <c r="K29" s="2"/>
      <c r="L29" s="2"/>
      <c r="M29" s="4"/>
      <c r="N29" s="2"/>
      <c r="O29" s="2"/>
      <c r="P29" s="2"/>
      <c r="Q29" s="5"/>
      <c r="R29" s="5"/>
      <c r="S29" s="2"/>
      <c r="T29" s="2"/>
      <c r="U29" s="2"/>
      <c r="V29" s="9"/>
    </row>
    <row r="30" spans="1:22" ht="12.75" customHeight="1">
      <c r="A30" s="7"/>
      <c r="B30" s="8"/>
      <c r="C30" s="8"/>
      <c r="D30" s="2"/>
      <c r="E30" s="2"/>
      <c r="F30" s="2"/>
      <c r="G30" s="3"/>
      <c r="H30" s="2"/>
      <c r="I30" s="2"/>
      <c r="J30" s="2"/>
      <c r="K30" s="2"/>
      <c r="L30" s="2"/>
      <c r="M30" s="4"/>
      <c r="N30" s="2"/>
      <c r="O30" s="2"/>
      <c r="P30" s="2"/>
      <c r="Q30" s="5"/>
      <c r="R30" s="5"/>
      <c r="S30" s="2"/>
      <c r="T30" s="2"/>
      <c r="U30" s="2"/>
      <c r="V30" s="9"/>
    </row>
    <row r="31" spans="1:22" ht="12.75" customHeight="1">
      <c r="A31" s="7"/>
      <c r="B31" s="8"/>
      <c r="C31" s="8"/>
      <c r="D31" s="2"/>
      <c r="E31" s="2"/>
      <c r="F31" s="2"/>
      <c r="G31" s="3"/>
      <c r="H31" s="2"/>
      <c r="I31" s="2"/>
      <c r="J31" s="2"/>
      <c r="K31" s="2"/>
      <c r="L31" s="2"/>
      <c r="M31" s="4"/>
      <c r="N31" s="2"/>
      <c r="O31" s="2"/>
      <c r="P31" s="2"/>
      <c r="Q31" s="5"/>
      <c r="R31" s="5"/>
      <c r="S31" s="2"/>
      <c r="T31" s="2"/>
      <c r="U31" s="2"/>
      <c r="V31" s="9"/>
    </row>
    <row r="32" spans="1:22" ht="12.75" customHeight="1">
      <c r="A32" s="7"/>
      <c r="B32" s="8"/>
      <c r="C32" s="8"/>
      <c r="D32" s="2"/>
      <c r="E32" s="2"/>
      <c r="F32" s="2"/>
      <c r="G32" s="3"/>
      <c r="H32" s="2"/>
      <c r="I32" s="2"/>
      <c r="J32" s="2"/>
      <c r="K32" s="2"/>
      <c r="L32" s="2"/>
      <c r="M32" s="4"/>
      <c r="N32" s="2"/>
      <c r="O32" s="2"/>
      <c r="P32" s="2"/>
      <c r="Q32" s="5"/>
      <c r="R32" s="5"/>
      <c r="S32" s="2"/>
      <c r="T32" s="2"/>
      <c r="U32" s="2"/>
      <c r="V32" s="9"/>
    </row>
    <row r="33" spans="1:22" ht="12.75" customHeight="1">
      <c r="A33" s="7"/>
      <c r="B33" s="8"/>
      <c r="C33" s="8"/>
      <c r="D33" s="2"/>
      <c r="E33" s="2"/>
      <c r="F33" s="2"/>
      <c r="G33" s="3"/>
      <c r="H33" s="2"/>
      <c r="I33" s="2"/>
      <c r="J33" s="2"/>
      <c r="K33" s="2"/>
      <c r="L33" s="2"/>
      <c r="M33" s="4"/>
      <c r="N33" s="2"/>
      <c r="O33" s="2"/>
      <c r="P33" s="2"/>
      <c r="Q33" s="5"/>
      <c r="R33" s="5"/>
      <c r="S33" s="2"/>
      <c r="T33" s="2"/>
      <c r="U33" s="2"/>
      <c r="V33" s="9"/>
    </row>
    <row r="34" spans="1:22" ht="12.75" customHeight="1">
      <c r="A34" s="7"/>
      <c r="B34" s="8"/>
      <c r="C34" s="8"/>
      <c r="D34" s="2"/>
      <c r="E34" s="2"/>
      <c r="F34" s="2"/>
      <c r="G34" s="3"/>
      <c r="H34" s="2"/>
      <c r="I34" s="2"/>
      <c r="J34" s="2"/>
      <c r="K34" s="2"/>
      <c r="L34" s="2"/>
      <c r="M34" s="4"/>
      <c r="N34" s="2"/>
      <c r="O34" s="2"/>
      <c r="P34" s="2"/>
      <c r="Q34" s="5"/>
      <c r="R34" s="5"/>
      <c r="S34" s="2"/>
      <c r="T34" s="2"/>
      <c r="U34" s="2"/>
      <c r="V34" s="9"/>
    </row>
    <row r="35" spans="1:22" ht="12.75" customHeight="1">
      <c r="A35" s="7"/>
      <c r="B35" s="8"/>
      <c r="C35" s="8"/>
      <c r="D35" s="2"/>
      <c r="E35" s="2"/>
      <c r="F35" s="2"/>
      <c r="G35" s="3"/>
      <c r="H35" s="2"/>
      <c r="I35" s="2"/>
      <c r="J35" s="2"/>
      <c r="K35" s="2"/>
      <c r="L35" s="2"/>
      <c r="M35" s="4"/>
      <c r="N35" s="2"/>
      <c r="O35" s="2"/>
      <c r="P35" s="2"/>
      <c r="Q35" s="5"/>
      <c r="R35" s="5"/>
      <c r="S35" s="2"/>
      <c r="T35" s="2"/>
      <c r="U35" s="2"/>
      <c r="V35" s="9"/>
    </row>
    <row r="36" spans="1:22" ht="12.75" customHeight="1">
      <c r="A36" s="7"/>
      <c r="B36" s="8"/>
      <c r="C36" s="8"/>
      <c r="D36" s="2"/>
      <c r="E36" s="2"/>
      <c r="F36" s="2"/>
      <c r="G36" s="3"/>
      <c r="H36" s="2"/>
      <c r="I36" s="2"/>
      <c r="J36" s="2"/>
      <c r="K36" s="2"/>
      <c r="L36" s="2"/>
      <c r="M36" s="4"/>
      <c r="N36" s="2"/>
      <c r="O36" s="2"/>
      <c r="P36" s="2"/>
      <c r="Q36" s="5"/>
      <c r="R36" s="5"/>
      <c r="S36" s="2"/>
      <c r="T36" s="2"/>
      <c r="U36" s="2"/>
      <c r="V36" s="9"/>
    </row>
    <row r="37" spans="1:22" ht="12.75" customHeight="1">
      <c r="A37" s="7"/>
      <c r="B37" s="8"/>
      <c r="C37" s="8"/>
      <c r="D37" s="2"/>
      <c r="E37" s="2"/>
      <c r="F37" s="2"/>
      <c r="G37" s="3"/>
      <c r="H37" s="2"/>
      <c r="I37" s="2"/>
      <c r="J37" s="2"/>
      <c r="K37" s="2"/>
      <c r="L37" s="2"/>
      <c r="M37" s="4"/>
      <c r="N37" s="2"/>
      <c r="O37" s="2"/>
      <c r="P37" s="2"/>
      <c r="Q37" s="5"/>
      <c r="R37" s="5"/>
      <c r="S37" s="2"/>
      <c r="T37" s="2"/>
      <c r="U37" s="2"/>
      <c r="V37" s="9"/>
    </row>
    <row r="38" spans="1:22" ht="12.75" customHeight="1">
      <c r="A38" s="7"/>
      <c r="B38" s="8"/>
      <c r="C38" s="8"/>
      <c r="D38" s="2"/>
      <c r="E38" s="2"/>
      <c r="F38" s="2"/>
      <c r="G38" s="3"/>
      <c r="H38" s="2"/>
      <c r="I38" s="2"/>
      <c r="J38" s="2"/>
      <c r="K38" s="2"/>
      <c r="L38" s="2"/>
      <c r="M38" s="4"/>
      <c r="N38" s="2"/>
      <c r="O38" s="2"/>
      <c r="P38" s="2"/>
      <c r="Q38" s="5"/>
      <c r="R38" s="5"/>
      <c r="S38" s="2"/>
      <c r="T38" s="2"/>
      <c r="U38" s="2"/>
      <c r="V38" s="9"/>
    </row>
    <row r="39" spans="1:22" ht="12.75" customHeight="1">
      <c r="A39" s="7"/>
      <c r="B39" s="8"/>
      <c r="C39" s="8"/>
      <c r="D39" s="2"/>
      <c r="E39" s="2"/>
      <c r="F39" s="2"/>
      <c r="G39" s="3"/>
      <c r="H39" s="2"/>
      <c r="I39" s="2"/>
      <c r="J39" s="2"/>
      <c r="K39" s="2"/>
      <c r="L39" s="2"/>
      <c r="M39" s="4"/>
      <c r="N39" s="2"/>
      <c r="O39" s="2"/>
      <c r="P39" s="2"/>
      <c r="Q39" s="5"/>
      <c r="R39" s="5"/>
      <c r="S39" s="2"/>
      <c r="T39" s="2"/>
      <c r="U39" s="2"/>
      <c r="V39" s="9"/>
    </row>
    <row r="40" spans="1:22" ht="12.75" customHeight="1">
      <c r="A40" s="7"/>
      <c r="B40" s="8"/>
      <c r="C40" s="8"/>
      <c r="D40" s="2"/>
      <c r="E40" s="2"/>
      <c r="F40" s="2"/>
      <c r="G40" s="3"/>
      <c r="H40" s="2"/>
      <c r="I40" s="2"/>
      <c r="J40" s="2"/>
      <c r="K40" s="2"/>
      <c r="L40" s="2"/>
      <c r="M40" s="4"/>
      <c r="N40" s="2"/>
      <c r="O40" s="2"/>
      <c r="P40" s="2"/>
      <c r="Q40" s="5"/>
      <c r="R40" s="5"/>
      <c r="S40" s="2"/>
      <c r="T40" s="2"/>
      <c r="U40" s="2"/>
      <c r="V40" s="9"/>
    </row>
    <row r="41" spans="1:22" ht="12.75" customHeight="1">
      <c r="A41" s="7"/>
      <c r="B41" s="8"/>
      <c r="C41" s="8"/>
      <c r="D41" s="2"/>
      <c r="E41" s="2"/>
      <c r="F41" s="2"/>
      <c r="G41" s="3"/>
      <c r="H41" s="2"/>
      <c r="I41" s="2"/>
      <c r="J41" s="2"/>
      <c r="K41" s="2"/>
      <c r="L41" s="2"/>
      <c r="M41" s="4"/>
      <c r="N41" s="2"/>
      <c r="O41" s="2"/>
      <c r="P41" s="2"/>
      <c r="Q41" s="5"/>
      <c r="R41" s="5"/>
      <c r="S41" s="2"/>
      <c r="T41" s="2"/>
      <c r="U41" s="2"/>
      <c r="V41" s="9"/>
    </row>
    <row r="42" spans="1:22" ht="12.75" customHeight="1">
      <c r="A42" s="7"/>
      <c r="B42" s="8"/>
      <c r="C42" s="8"/>
      <c r="D42" s="2"/>
      <c r="E42" s="2"/>
      <c r="F42" s="2"/>
      <c r="G42" s="3"/>
      <c r="H42" s="2"/>
      <c r="I42" s="2"/>
      <c r="J42" s="2"/>
      <c r="K42" s="2"/>
      <c r="L42" s="2"/>
      <c r="M42" s="4"/>
      <c r="N42" s="2"/>
      <c r="O42" s="2"/>
      <c r="P42" s="2"/>
      <c r="Q42" s="5"/>
      <c r="R42" s="5"/>
      <c r="S42" s="2"/>
      <c r="T42" s="2"/>
      <c r="U42" s="2"/>
      <c r="V42" s="9"/>
    </row>
    <row r="43" spans="1:22" ht="12.75" customHeight="1">
      <c r="A43" s="7"/>
      <c r="B43" s="8"/>
      <c r="C43" s="8"/>
      <c r="D43" s="2"/>
      <c r="E43" s="2"/>
      <c r="F43" s="2"/>
      <c r="G43" s="3"/>
      <c r="H43" s="2"/>
      <c r="I43" s="2"/>
      <c r="J43" s="2"/>
      <c r="K43" s="2"/>
      <c r="L43" s="2"/>
      <c r="M43" s="4"/>
      <c r="N43" s="2"/>
      <c r="O43" s="2"/>
      <c r="P43" s="2"/>
      <c r="Q43" s="5"/>
      <c r="R43" s="5"/>
      <c r="S43" s="2"/>
      <c r="T43" s="2"/>
      <c r="U43" s="2"/>
      <c r="V43" s="9"/>
    </row>
    <row r="44" spans="1:22" ht="12.75" customHeight="1">
      <c r="A44" s="7"/>
      <c r="B44" s="8"/>
      <c r="C44" s="8"/>
      <c r="D44" s="2"/>
      <c r="E44" s="2"/>
      <c r="F44" s="2"/>
      <c r="G44" s="3"/>
      <c r="H44" s="2"/>
      <c r="I44" s="2"/>
      <c r="J44" s="2"/>
      <c r="K44" s="2"/>
      <c r="L44" s="2"/>
      <c r="M44" s="4"/>
      <c r="N44" s="2"/>
      <c r="O44" s="2"/>
      <c r="P44" s="2"/>
      <c r="Q44" s="5"/>
      <c r="R44" s="5"/>
      <c r="S44" s="2"/>
      <c r="T44" s="2"/>
      <c r="U44" s="2"/>
      <c r="V44" s="9"/>
    </row>
    <row r="45" spans="1:22" ht="12.75" customHeight="1">
      <c r="A45" s="7"/>
      <c r="B45" s="8"/>
      <c r="C45" s="8"/>
      <c r="D45" s="2"/>
      <c r="E45" s="2"/>
      <c r="F45" s="2"/>
      <c r="G45" s="3"/>
      <c r="H45" s="2"/>
      <c r="I45" s="2"/>
      <c r="J45" s="2"/>
      <c r="K45" s="2"/>
      <c r="L45" s="2"/>
      <c r="M45" s="4"/>
      <c r="N45" s="2"/>
      <c r="O45" s="2"/>
      <c r="P45" s="2"/>
      <c r="Q45" s="5"/>
      <c r="R45" s="5"/>
      <c r="S45" s="2"/>
      <c r="T45" s="2"/>
      <c r="U45" s="2"/>
      <c r="V45" s="9"/>
    </row>
    <row r="46" spans="1:22" ht="27.75" customHeight="1">
      <c r="A46" s="7"/>
      <c r="B46" s="8"/>
      <c r="C46" s="8"/>
      <c r="D46" s="2"/>
      <c r="E46" s="2"/>
      <c r="F46" s="2"/>
      <c r="G46" s="3"/>
      <c r="H46" s="11"/>
      <c r="I46" s="2"/>
      <c r="J46" s="2"/>
      <c r="K46" s="2"/>
      <c r="L46" s="2" t="s">
        <v>3</v>
      </c>
      <c r="M46" s="4"/>
      <c r="N46" s="2"/>
      <c r="O46" s="2"/>
      <c r="P46" s="2"/>
      <c r="Q46" s="5"/>
      <c r="R46" s="5"/>
      <c r="S46" s="2"/>
      <c r="T46" s="2"/>
      <c r="U46" s="2"/>
      <c r="V46" s="9"/>
    </row>
    <row r="47" spans="1:22" ht="12.75" customHeight="1">
      <c r="A47" s="7"/>
      <c r="B47" s="1"/>
      <c r="C47" s="8" t="s">
        <v>4</v>
      </c>
      <c r="D47" s="2"/>
      <c r="E47" s="2"/>
      <c r="F47" s="2"/>
      <c r="G47" s="3"/>
      <c r="H47" s="2"/>
      <c r="I47" s="2"/>
      <c r="J47" s="2"/>
      <c r="K47" s="2"/>
      <c r="L47" s="2"/>
      <c r="M47" s="4"/>
      <c r="N47" s="2"/>
      <c r="O47" s="2"/>
      <c r="P47" s="2"/>
      <c r="Q47" s="5"/>
      <c r="R47" s="5"/>
      <c r="S47" s="2"/>
      <c r="T47" s="2"/>
      <c r="U47" s="2"/>
      <c r="V47" s="9"/>
    </row>
    <row r="48" spans="1:22" ht="12.75" customHeight="1">
      <c r="A48" s="7"/>
      <c r="B48" s="1"/>
      <c r="C48" s="1"/>
      <c r="D48" s="2"/>
      <c r="E48" s="2"/>
      <c r="F48" s="2"/>
      <c r="G48" s="3"/>
      <c r="H48" s="2"/>
      <c r="I48" s="2"/>
      <c r="J48" s="2"/>
      <c r="K48" s="2"/>
      <c r="L48" s="2"/>
      <c r="M48" s="4"/>
      <c r="N48" s="2"/>
      <c r="O48" s="2"/>
      <c r="P48" s="2"/>
      <c r="Q48" s="5"/>
      <c r="R48" s="5"/>
      <c r="S48" s="2"/>
      <c r="T48" s="2"/>
      <c r="U48" s="2"/>
      <c r="V48" s="9"/>
    </row>
    <row r="49" spans="1:22" ht="12.75" customHeight="1">
      <c r="A49" s="7"/>
      <c r="B49" s="1"/>
      <c r="C49" s="1"/>
      <c r="D49" s="12" t="s">
        <v>5</v>
      </c>
      <c r="E49" s="13"/>
      <c r="F49" s="13"/>
      <c r="G49" s="14"/>
      <c r="H49" s="2"/>
      <c r="I49" s="2"/>
      <c r="J49" s="2"/>
      <c r="K49" s="2"/>
      <c r="L49" s="2"/>
      <c r="M49" s="4"/>
      <c r="N49" s="2"/>
      <c r="O49" s="2"/>
      <c r="P49" s="2"/>
      <c r="Q49" s="5"/>
      <c r="R49" s="5"/>
      <c r="S49" s="2"/>
      <c r="T49" s="2"/>
      <c r="U49" s="2"/>
      <c r="V49" s="9"/>
    </row>
    <row r="50" spans="1:22" ht="12.75" customHeight="1">
      <c r="A50" s="7"/>
      <c r="B50" s="1"/>
      <c r="C50" s="1"/>
      <c r="D50" s="2"/>
      <c r="E50" s="2"/>
      <c r="F50" s="2"/>
      <c r="G50" s="3"/>
      <c r="H50" s="2"/>
      <c r="I50" s="2"/>
      <c r="J50" s="15" t="s">
        <v>6</v>
      </c>
      <c r="K50" s="15"/>
      <c r="L50" s="15"/>
      <c r="M50" s="16"/>
      <c r="N50" s="15"/>
      <c r="O50" s="15"/>
      <c r="P50" s="15" t="s">
        <v>7</v>
      </c>
      <c r="Q50" s="17"/>
      <c r="R50" s="17"/>
      <c r="S50" s="15"/>
      <c r="T50" s="15"/>
      <c r="U50" s="2"/>
      <c r="V50" s="9"/>
    </row>
    <row r="51" spans="1:22" ht="12.75" customHeight="1">
      <c r="A51" s="7"/>
      <c r="B51" s="1"/>
      <c r="C51" s="1"/>
      <c r="D51" s="18" t="s">
        <v>8</v>
      </c>
      <c r="E51" s="88" t="s">
        <v>9</v>
      </c>
      <c r="F51" s="80"/>
      <c r="G51" s="80"/>
      <c r="H51" s="18" t="s">
        <v>10</v>
      </c>
      <c r="I51" s="2"/>
      <c r="J51" s="15"/>
      <c r="K51" s="19" t="s">
        <v>11</v>
      </c>
      <c r="L51" s="20"/>
      <c r="M51" s="21" t="s">
        <v>12</v>
      </c>
      <c r="N51" s="22"/>
      <c r="O51" s="16"/>
      <c r="P51" s="16"/>
      <c r="Q51" s="23" t="s">
        <v>13</v>
      </c>
      <c r="R51" s="24"/>
      <c r="S51" s="21" t="s">
        <v>14</v>
      </c>
      <c r="T51" s="22"/>
      <c r="U51" s="4"/>
      <c r="V51" s="9"/>
    </row>
    <row r="52" spans="1:22" ht="12.75" customHeight="1">
      <c r="A52" s="7"/>
      <c r="B52" s="1"/>
      <c r="C52" s="1"/>
      <c r="D52" s="25">
        <v>1</v>
      </c>
      <c r="E52" s="26" t="s">
        <v>15</v>
      </c>
      <c r="F52" s="27"/>
      <c r="G52" s="28"/>
      <c r="H52" s="25">
        <v>3</v>
      </c>
      <c r="I52" s="2"/>
      <c r="J52" s="15"/>
      <c r="K52" s="29" t="s">
        <v>16</v>
      </c>
      <c r="L52" s="30">
        <v>1</v>
      </c>
      <c r="M52" s="30">
        <v>20</v>
      </c>
      <c r="N52" s="30">
        <v>51</v>
      </c>
      <c r="O52" s="16"/>
      <c r="P52" s="16"/>
      <c r="Q52" s="31" t="s">
        <v>17</v>
      </c>
      <c r="R52" s="32" t="s">
        <v>18</v>
      </c>
      <c r="S52" s="30" t="s">
        <v>19</v>
      </c>
      <c r="T52" s="30" t="s">
        <v>20</v>
      </c>
      <c r="U52" s="16"/>
      <c r="V52" s="9"/>
    </row>
    <row r="53" spans="1:22" ht="12.75" customHeight="1">
      <c r="A53" s="7"/>
      <c r="B53" s="1"/>
      <c r="C53" s="1"/>
      <c r="D53" s="25">
        <v>2</v>
      </c>
      <c r="E53" s="26" t="s">
        <v>21</v>
      </c>
      <c r="F53" s="27"/>
      <c r="G53" s="28"/>
      <c r="H53" s="25">
        <v>3</v>
      </c>
      <c r="I53" s="2"/>
      <c r="J53" s="15"/>
      <c r="K53" s="29">
        <v>1</v>
      </c>
      <c r="L53" s="33" t="s">
        <v>18</v>
      </c>
      <c r="M53" s="33" t="s">
        <v>18</v>
      </c>
      <c r="N53" s="33" t="s">
        <v>19</v>
      </c>
      <c r="O53" s="16"/>
      <c r="P53" s="16"/>
      <c r="Q53" s="31" t="s">
        <v>22</v>
      </c>
      <c r="R53" s="34">
        <v>7</v>
      </c>
      <c r="S53" s="33">
        <v>10</v>
      </c>
      <c r="T53" s="33">
        <v>15</v>
      </c>
      <c r="U53" s="19"/>
      <c r="V53" s="35"/>
    </row>
    <row r="54" spans="1:22" ht="12.75" customHeight="1">
      <c r="A54" s="7"/>
      <c r="B54" s="1"/>
      <c r="C54" s="1"/>
      <c r="D54" s="25">
        <v>3</v>
      </c>
      <c r="E54" s="26" t="s">
        <v>23</v>
      </c>
      <c r="F54" s="27"/>
      <c r="G54" s="28"/>
      <c r="H54" s="25">
        <v>3</v>
      </c>
      <c r="I54" s="2"/>
      <c r="J54" s="15"/>
      <c r="K54" s="29">
        <v>2</v>
      </c>
      <c r="L54" s="33" t="s">
        <v>18</v>
      </c>
      <c r="M54" s="33" t="s">
        <v>19</v>
      </c>
      <c r="N54" s="33" t="s">
        <v>20</v>
      </c>
      <c r="O54" s="16"/>
      <c r="P54" s="16"/>
      <c r="Q54" s="31" t="s">
        <v>24</v>
      </c>
      <c r="R54" s="34">
        <v>5</v>
      </c>
      <c r="S54" s="33">
        <v>7</v>
      </c>
      <c r="T54" s="33">
        <v>10</v>
      </c>
      <c r="U54" s="19"/>
      <c r="V54" s="35"/>
    </row>
    <row r="55" spans="1:22" ht="12.75" customHeight="1">
      <c r="A55" s="7"/>
      <c r="B55" s="1"/>
      <c r="C55" s="1"/>
      <c r="D55" s="25">
        <v>4</v>
      </c>
      <c r="E55" s="26" t="s">
        <v>25</v>
      </c>
      <c r="F55" s="27"/>
      <c r="G55" s="28"/>
      <c r="H55" s="25">
        <v>3</v>
      </c>
      <c r="I55" s="2"/>
      <c r="J55" s="15"/>
      <c r="K55" s="29">
        <v>6</v>
      </c>
      <c r="L55" s="33" t="s">
        <v>19</v>
      </c>
      <c r="M55" s="33" t="s">
        <v>20</v>
      </c>
      <c r="N55" s="33" t="s">
        <v>20</v>
      </c>
      <c r="O55" s="16"/>
      <c r="P55" s="16"/>
      <c r="Q55" s="31" t="s">
        <v>26</v>
      </c>
      <c r="R55" s="34">
        <v>3</v>
      </c>
      <c r="S55" s="33">
        <v>4</v>
      </c>
      <c r="T55" s="33">
        <v>6</v>
      </c>
      <c r="U55" s="19"/>
      <c r="V55" s="36"/>
    </row>
    <row r="56" spans="1:22" ht="12.75" customHeight="1">
      <c r="A56" s="7"/>
      <c r="B56" s="1"/>
      <c r="C56" s="1"/>
      <c r="D56" s="25">
        <v>5</v>
      </c>
      <c r="E56" s="26" t="s">
        <v>27</v>
      </c>
      <c r="F56" s="27"/>
      <c r="G56" s="28"/>
      <c r="H56" s="25">
        <v>3</v>
      </c>
      <c r="I56" s="2"/>
      <c r="J56" s="15"/>
      <c r="K56" s="16"/>
      <c r="L56" s="16"/>
      <c r="M56" s="16"/>
      <c r="N56" s="16"/>
      <c r="O56" s="16"/>
      <c r="P56" s="16"/>
      <c r="Q56" s="31" t="s">
        <v>28</v>
      </c>
      <c r="R56" s="34">
        <v>4</v>
      </c>
      <c r="S56" s="33">
        <v>5</v>
      </c>
      <c r="T56" s="33">
        <v>7</v>
      </c>
      <c r="U56" s="19"/>
      <c r="V56" s="36"/>
    </row>
    <row r="57" spans="1:22" ht="12.75" customHeight="1">
      <c r="A57" s="7"/>
      <c r="B57" s="1"/>
      <c r="C57" s="1"/>
      <c r="D57" s="25">
        <v>6</v>
      </c>
      <c r="E57" s="26" t="s">
        <v>29</v>
      </c>
      <c r="F57" s="27"/>
      <c r="G57" s="28"/>
      <c r="H57" s="25">
        <v>3</v>
      </c>
      <c r="I57" s="2"/>
      <c r="J57" s="37" t="s">
        <v>30</v>
      </c>
      <c r="K57" s="16"/>
      <c r="L57" s="16"/>
      <c r="M57" s="16"/>
      <c r="N57" s="16"/>
      <c r="O57" s="16"/>
      <c r="P57" s="16"/>
      <c r="Q57" s="31" t="s">
        <v>31</v>
      </c>
      <c r="R57" s="34">
        <v>3</v>
      </c>
      <c r="S57" s="33">
        <v>4</v>
      </c>
      <c r="T57" s="33">
        <v>6</v>
      </c>
      <c r="U57" s="19"/>
      <c r="V57" s="36"/>
    </row>
    <row r="58" spans="1:22" ht="12.75" customHeight="1">
      <c r="A58" s="7"/>
      <c r="B58" s="1"/>
      <c r="C58" s="1"/>
      <c r="D58" s="25">
        <v>7</v>
      </c>
      <c r="E58" s="26" t="s">
        <v>32</v>
      </c>
      <c r="F58" s="27"/>
      <c r="G58" s="28"/>
      <c r="H58" s="25">
        <v>3</v>
      </c>
      <c r="I58" s="2"/>
      <c r="J58" s="15"/>
      <c r="K58" s="19" t="s">
        <v>26</v>
      </c>
      <c r="L58" s="20"/>
      <c r="M58" s="21" t="s">
        <v>12</v>
      </c>
      <c r="N58" s="22"/>
      <c r="O58" s="16"/>
      <c r="P58" s="16"/>
      <c r="Q58" s="17"/>
      <c r="R58" s="17"/>
      <c r="S58" s="16"/>
      <c r="T58" s="16"/>
      <c r="U58" s="19"/>
      <c r="V58" s="36"/>
    </row>
    <row r="59" spans="1:22" ht="12.75" customHeight="1">
      <c r="A59" s="7"/>
      <c r="B59" s="1"/>
      <c r="C59" s="1"/>
      <c r="D59" s="25">
        <v>8</v>
      </c>
      <c r="E59" s="26" t="s">
        <v>33</v>
      </c>
      <c r="F59" s="27"/>
      <c r="G59" s="28"/>
      <c r="H59" s="25">
        <v>3</v>
      </c>
      <c r="I59" s="2"/>
      <c r="J59" s="15"/>
      <c r="K59" s="29" t="s">
        <v>34</v>
      </c>
      <c r="L59" s="30">
        <v>1</v>
      </c>
      <c r="M59" s="30">
        <v>5</v>
      </c>
      <c r="N59" s="30">
        <v>16</v>
      </c>
      <c r="O59" s="16"/>
      <c r="P59" s="16"/>
      <c r="Q59" s="17"/>
      <c r="R59" s="17"/>
      <c r="S59" s="16"/>
      <c r="T59" s="16"/>
      <c r="U59" s="19"/>
      <c r="V59" s="36"/>
    </row>
    <row r="60" spans="1:22" ht="12.75" customHeight="1">
      <c r="A60" s="7"/>
      <c r="B60" s="1"/>
      <c r="C60" s="1"/>
      <c r="D60" s="25">
        <v>9</v>
      </c>
      <c r="E60" s="26" t="s">
        <v>35</v>
      </c>
      <c r="F60" s="27"/>
      <c r="G60" s="28"/>
      <c r="H60" s="25">
        <v>3</v>
      </c>
      <c r="I60" s="2"/>
      <c r="J60" s="15"/>
      <c r="K60" s="29">
        <v>1</v>
      </c>
      <c r="L60" s="33" t="s">
        <v>18</v>
      </c>
      <c r="M60" s="33" t="s">
        <v>18</v>
      </c>
      <c r="N60" s="33" t="s">
        <v>19</v>
      </c>
      <c r="O60" s="16"/>
      <c r="P60" s="16"/>
      <c r="Q60" s="17"/>
      <c r="R60" s="17"/>
      <c r="S60" s="16"/>
      <c r="T60" s="16"/>
      <c r="U60" s="16"/>
      <c r="V60" s="36"/>
    </row>
    <row r="61" spans="1:22" ht="12.75" customHeight="1">
      <c r="A61" s="7"/>
      <c r="B61" s="1"/>
      <c r="C61" s="1"/>
      <c r="D61" s="25">
        <v>10</v>
      </c>
      <c r="E61" s="26" t="s">
        <v>36</v>
      </c>
      <c r="F61" s="27"/>
      <c r="G61" s="28"/>
      <c r="H61" s="25">
        <v>3</v>
      </c>
      <c r="I61" s="2"/>
      <c r="J61" s="15"/>
      <c r="K61" s="29">
        <v>2</v>
      </c>
      <c r="L61" s="33" t="s">
        <v>18</v>
      </c>
      <c r="M61" s="33" t="s">
        <v>19</v>
      </c>
      <c r="N61" s="33" t="s">
        <v>20</v>
      </c>
      <c r="O61" s="16"/>
      <c r="P61" s="16"/>
      <c r="Q61" s="17"/>
      <c r="R61" s="17"/>
      <c r="S61" s="16"/>
      <c r="T61" s="16"/>
      <c r="U61" s="16"/>
      <c r="V61" s="35"/>
    </row>
    <row r="62" spans="1:22" ht="12.75" customHeight="1">
      <c r="A62" s="7"/>
      <c r="B62" s="1"/>
      <c r="C62" s="1"/>
      <c r="D62" s="25">
        <v>11</v>
      </c>
      <c r="E62" s="26" t="s">
        <v>37</v>
      </c>
      <c r="F62" s="27"/>
      <c r="G62" s="28"/>
      <c r="H62" s="25">
        <v>3</v>
      </c>
      <c r="I62" s="2"/>
      <c r="J62" s="15"/>
      <c r="K62" s="29">
        <v>3</v>
      </c>
      <c r="L62" s="33" t="s">
        <v>19</v>
      </c>
      <c r="M62" s="33" t="s">
        <v>20</v>
      </c>
      <c r="N62" s="33" t="s">
        <v>20</v>
      </c>
      <c r="O62" s="16"/>
      <c r="P62" s="16"/>
      <c r="Q62" s="17"/>
      <c r="R62" s="17"/>
      <c r="S62" s="16"/>
      <c r="T62" s="16"/>
      <c r="U62" s="16"/>
      <c r="V62" s="35"/>
    </row>
    <row r="63" spans="1:22" ht="12.75" customHeight="1">
      <c r="A63" s="7"/>
      <c r="B63" s="1"/>
      <c r="C63" s="1"/>
      <c r="D63" s="25">
        <v>12</v>
      </c>
      <c r="E63" s="26" t="s">
        <v>38</v>
      </c>
      <c r="F63" s="27"/>
      <c r="G63" s="28"/>
      <c r="H63" s="25">
        <v>3</v>
      </c>
      <c r="I63" s="2"/>
      <c r="J63" s="15"/>
      <c r="K63" s="16"/>
      <c r="L63" s="16"/>
      <c r="M63" s="16"/>
      <c r="N63" s="16"/>
      <c r="O63" s="16"/>
      <c r="P63" s="16"/>
      <c r="Q63" s="17"/>
      <c r="R63" s="17"/>
      <c r="S63" s="16"/>
      <c r="T63" s="16"/>
      <c r="U63" s="16"/>
      <c r="V63" s="35"/>
    </row>
    <row r="64" spans="1:22" ht="12.75" customHeight="1">
      <c r="A64" s="7"/>
      <c r="B64" s="1"/>
      <c r="C64" s="1"/>
      <c r="D64" s="25">
        <v>13</v>
      </c>
      <c r="E64" s="26" t="s">
        <v>39</v>
      </c>
      <c r="F64" s="27"/>
      <c r="G64" s="28"/>
      <c r="H64" s="25">
        <v>3</v>
      </c>
      <c r="I64" s="2"/>
      <c r="J64" s="15"/>
      <c r="K64" s="19" t="s">
        <v>40</v>
      </c>
      <c r="L64" s="20"/>
      <c r="M64" s="21" t="s">
        <v>12</v>
      </c>
      <c r="N64" s="22"/>
      <c r="O64" s="16"/>
      <c r="P64" s="16"/>
      <c r="Q64" s="17"/>
      <c r="R64" s="17"/>
      <c r="S64" s="16"/>
      <c r="T64" s="16"/>
      <c r="U64" s="16"/>
      <c r="V64" s="35"/>
    </row>
    <row r="65" spans="1:22" ht="12.75" customHeight="1">
      <c r="A65" s="7"/>
      <c r="B65" s="1"/>
      <c r="C65" s="1"/>
      <c r="D65" s="25">
        <v>14</v>
      </c>
      <c r="E65" s="26" t="s">
        <v>41</v>
      </c>
      <c r="F65" s="27"/>
      <c r="G65" s="28"/>
      <c r="H65" s="25">
        <v>3</v>
      </c>
      <c r="I65" s="2"/>
      <c r="J65" s="15"/>
      <c r="K65" s="29" t="s">
        <v>34</v>
      </c>
      <c r="L65" s="30">
        <v>1</v>
      </c>
      <c r="M65" s="30">
        <v>6</v>
      </c>
      <c r="N65" s="30">
        <v>20</v>
      </c>
      <c r="O65" s="16"/>
      <c r="P65" s="16"/>
      <c r="Q65" s="17"/>
      <c r="R65" s="17"/>
      <c r="S65" s="16"/>
      <c r="T65" s="16"/>
      <c r="U65" s="16"/>
      <c r="V65" s="35"/>
    </row>
    <row r="66" spans="1:22" ht="12.75" customHeight="1">
      <c r="A66" s="7"/>
      <c r="B66" s="1"/>
      <c r="C66" s="1"/>
      <c r="D66" s="2"/>
      <c r="E66" s="2"/>
      <c r="F66" s="2"/>
      <c r="G66" s="3"/>
      <c r="H66" s="18">
        <f>IF(COUNTA(H52:H65)&gt;0,SUM(H52:H65),"")</f>
        <v>42</v>
      </c>
      <c r="I66" s="2"/>
      <c r="J66" s="15"/>
      <c r="K66" s="29">
        <v>1</v>
      </c>
      <c r="L66" s="33" t="s">
        <v>18</v>
      </c>
      <c r="M66" s="33" t="s">
        <v>18</v>
      </c>
      <c r="N66" s="33" t="s">
        <v>19</v>
      </c>
      <c r="O66" s="16"/>
      <c r="P66" s="16"/>
      <c r="Q66" s="17"/>
      <c r="R66" s="17"/>
      <c r="S66" s="16"/>
      <c r="T66" s="16"/>
      <c r="U66" s="16"/>
      <c r="V66" s="35"/>
    </row>
    <row r="67" spans="1:22" ht="12.75" customHeight="1">
      <c r="A67" s="7"/>
      <c r="B67" s="1"/>
      <c r="C67" s="1"/>
      <c r="D67" s="2"/>
      <c r="E67" s="2"/>
      <c r="F67" s="2"/>
      <c r="G67" s="3"/>
      <c r="H67" s="2"/>
      <c r="I67" s="2"/>
      <c r="J67" s="15"/>
      <c r="K67" s="29">
        <v>2</v>
      </c>
      <c r="L67" s="33" t="s">
        <v>18</v>
      </c>
      <c r="M67" s="33" t="s">
        <v>19</v>
      </c>
      <c r="N67" s="33" t="s">
        <v>20</v>
      </c>
      <c r="O67" s="16"/>
      <c r="P67" s="16"/>
      <c r="Q67" s="17"/>
      <c r="R67" s="17"/>
      <c r="S67" s="16"/>
      <c r="T67" s="16"/>
      <c r="U67" s="16"/>
      <c r="V67" s="35"/>
    </row>
    <row r="68" spans="1:22" ht="12.75" customHeight="1">
      <c r="A68" s="7"/>
      <c r="B68" s="1"/>
      <c r="C68" s="1"/>
      <c r="D68" s="2" t="s">
        <v>42</v>
      </c>
      <c r="E68" s="2" t="s">
        <v>43</v>
      </c>
      <c r="F68" s="3"/>
      <c r="G68" s="2"/>
      <c r="H68" s="2"/>
      <c r="I68" s="2"/>
      <c r="J68" s="15"/>
      <c r="K68" s="29">
        <v>4</v>
      </c>
      <c r="L68" s="33" t="s">
        <v>19</v>
      </c>
      <c r="M68" s="33" t="s">
        <v>20</v>
      </c>
      <c r="N68" s="33" t="s">
        <v>20</v>
      </c>
      <c r="O68" s="16"/>
      <c r="P68" s="16"/>
      <c r="Q68" s="17"/>
      <c r="R68" s="17"/>
      <c r="S68" s="16"/>
      <c r="T68" s="16"/>
      <c r="U68" s="16"/>
      <c r="V68" s="35"/>
    </row>
    <row r="69" spans="1:22" ht="12.75" customHeight="1">
      <c r="A69" s="7"/>
      <c r="B69" s="1"/>
      <c r="C69" s="1"/>
      <c r="D69" s="2" t="s">
        <v>44</v>
      </c>
      <c r="E69" s="2" t="s">
        <v>45</v>
      </c>
      <c r="F69" s="3"/>
      <c r="G69" s="2"/>
      <c r="H69" s="2"/>
      <c r="I69" s="2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35"/>
    </row>
    <row r="70" spans="1:22" ht="12.75" customHeight="1">
      <c r="A70" s="7"/>
      <c r="B70" s="1"/>
      <c r="C70" s="1"/>
      <c r="D70" s="2" t="s">
        <v>46</v>
      </c>
      <c r="E70" s="2" t="s">
        <v>47</v>
      </c>
      <c r="F70" s="3"/>
      <c r="G70" s="2"/>
      <c r="H70" s="2"/>
      <c r="I70" s="2"/>
      <c r="J70" s="2"/>
      <c r="K70" s="2"/>
      <c r="L70" s="2"/>
      <c r="M70" s="4"/>
      <c r="N70" s="2"/>
      <c r="O70" s="2"/>
      <c r="P70" s="2"/>
      <c r="Q70" s="5"/>
      <c r="R70" s="5"/>
      <c r="S70" s="2"/>
      <c r="T70" s="2"/>
      <c r="U70" s="15"/>
      <c r="V70" s="35"/>
    </row>
    <row r="71" spans="1:22" ht="12.75" customHeight="1">
      <c r="A71" s="7"/>
      <c r="B71" s="1"/>
      <c r="C71" s="1"/>
      <c r="D71" s="2" t="s">
        <v>48</v>
      </c>
      <c r="E71" s="2" t="s">
        <v>49</v>
      </c>
      <c r="F71" s="3"/>
      <c r="G71" s="2"/>
      <c r="H71" s="2"/>
      <c r="I71" s="2"/>
      <c r="J71" s="15"/>
      <c r="K71" s="2"/>
      <c r="L71" s="2"/>
      <c r="M71" s="4"/>
      <c r="N71" s="2"/>
      <c r="O71" s="15"/>
      <c r="P71" s="15"/>
      <c r="Q71" s="17"/>
      <c r="R71" s="17"/>
      <c r="S71" s="15"/>
      <c r="T71" s="15"/>
      <c r="U71" s="15"/>
      <c r="V71" s="35"/>
    </row>
    <row r="72" spans="1:22" ht="12.75" customHeight="1">
      <c r="A72" s="7"/>
      <c r="B72" s="1"/>
      <c r="C72" s="1"/>
      <c r="D72" s="2" t="s">
        <v>50</v>
      </c>
      <c r="E72" s="2" t="s">
        <v>51</v>
      </c>
      <c r="F72" s="3"/>
      <c r="G72" s="2"/>
      <c r="H72" s="2"/>
      <c r="I72" s="2"/>
      <c r="J72" s="2"/>
      <c r="K72" s="2"/>
      <c r="L72" s="2"/>
      <c r="M72" s="4"/>
      <c r="N72" s="2"/>
      <c r="O72" s="2"/>
      <c r="P72" s="2"/>
      <c r="Q72" s="5"/>
      <c r="R72" s="5"/>
      <c r="S72" s="2"/>
      <c r="T72" s="2"/>
      <c r="U72" s="2"/>
      <c r="V72" s="9"/>
    </row>
    <row r="73" spans="1:22" ht="12.75" customHeight="1">
      <c r="A73" s="7"/>
      <c r="B73" s="1"/>
      <c r="C73" s="1"/>
      <c r="D73" s="2" t="s">
        <v>52</v>
      </c>
      <c r="E73" s="2" t="s">
        <v>53</v>
      </c>
      <c r="F73" s="3"/>
      <c r="G73" s="2"/>
      <c r="H73" s="2"/>
      <c r="I73" s="2"/>
      <c r="J73" s="2"/>
      <c r="K73" s="2"/>
      <c r="L73" s="2"/>
      <c r="M73" s="4"/>
      <c r="N73" s="2"/>
      <c r="O73" s="2"/>
      <c r="P73" s="2"/>
      <c r="Q73" s="5"/>
      <c r="R73" s="5"/>
      <c r="S73" s="2"/>
      <c r="T73" s="2"/>
      <c r="U73" s="2"/>
      <c r="V73" s="9"/>
    </row>
    <row r="74" spans="1:22" ht="12.75" customHeight="1">
      <c r="A74" s="7"/>
      <c r="B74" s="1"/>
      <c r="C74" s="1"/>
      <c r="D74" s="2" t="s">
        <v>54</v>
      </c>
      <c r="E74" s="2" t="s">
        <v>55</v>
      </c>
      <c r="F74" s="3"/>
      <c r="G74" s="2"/>
      <c r="H74" s="2"/>
      <c r="I74" s="2"/>
      <c r="J74" s="2"/>
      <c r="K74" s="2"/>
      <c r="L74" s="2"/>
      <c r="M74" s="4"/>
      <c r="N74" s="2"/>
      <c r="O74" s="2"/>
      <c r="P74" s="2"/>
      <c r="Q74" s="5"/>
      <c r="R74" s="5"/>
      <c r="S74" s="2"/>
      <c r="T74" s="2"/>
      <c r="U74" s="2"/>
      <c r="V74" s="9"/>
    </row>
    <row r="75" spans="1:22" ht="12.75" customHeight="1">
      <c r="A75" s="7"/>
      <c r="B75" s="1"/>
      <c r="C75" s="1"/>
      <c r="D75" s="2" t="s">
        <v>56</v>
      </c>
      <c r="E75" s="2" t="s">
        <v>57</v>
      </c>
      <c r="F75" s="3"/>
      <c r="G75" s="2"/>
      <c r="H75" s="2"/>
      <c r="I75" s="2"/>
      <c r="J75" s="2"/>
      <c r="K75" s="2"/>
      <c r="L75" s="2"/>
      <c r="M75" s="4"/>
      <c r="N75" s="2"/>
      <c r="O75" s="2"/>
      <c r="P75" s="2"/>
      <c r="Q75" s="5"/>
      <c r="R75" s="5"/>
      <c r="S75" s="2"/>
      <c r="T75" s="2"/>
      <c r="U75" s="2"/>
      <c r="V75" s="9"/>
    </row>
    <row r="76" spans="1:22" ht="12.75" customHeight="1">
      <c r="A76" s="7"/>
      <c r="B76" s="1"/>
      <c r="C76" s="1"/>
      <c r="D76" s="2" t="s">
        <v>58</v>
      </c>
      <c r="E76" s="2" t="s">
        <v>59</v>
      </c>
      <c r="F76" s="3"/>
      <c r="G76" s="2"/>
      <c r="H76" s="2"/>
      <c r="I76" s="2"/>
      <c r="J76" s="2"/>
      <c r="K76" s="2"/>
      <c r="L76" s="2"/>
      <c r="M76" s="4"/>
      <c r="N76" s="2"/>
      <c r="O76" s="2"/>
      <c r="P76" s="2"/>
      <c r="Q76" s="5"/>
      <c r="R76" s="5"/>
      <c r="S76" s="38"/>
      <c r="T76" s="38"/>
      <c r="U76" s="38"/>
      <c r="V76" s="9"/>
    </row>
    <row r="77" spans="1:22" ht="12.75" customHeight="1">
      <c r="A77" s="7"/>
      <c r="B77" s="1"/>
      <c r="C77" s="1"/>
      <c r="D77" s="2" t="s">
        <v>60</v>
      </c>
      <c r="E77" s="2" t="s">
        <v>61</v>
      </c>
      <c r="F77" s="3"/>
      <c r="G77" s="2"/>
      <c r="H77" s="2"/>
      <c r="I77" s="2"/>
      <c r="J77" s="2"/>
      <c r="K77" s="2"/>
      <c r="L77" s="2"/>
      <c r="M77" s="4"/>
      <c r="N77" s="2"/>
      <c r="O77" s="2"/>
      <c r="P77" s="2"/>
      <c r="Q77" s="5"/>
      <c r="R77" s="5"/>
      <c r="S77" s="90"/>
      <c r="T77" s="79"/>
      <c r="U77" s="39"/>
      <c r="V77" s="9"/>
    </row>
    <row r="78" spans="1:22" ht="12.75" customHeight="1">
      <c r="A78" s="7"/>
      <c r="B78" s="1"/>
      <c r="C78" s="1"/>
      <c r="D78" s="2"/>
      <c r="E78" s="2"/>
      <c r="F78" s="2"/>
      <c r="G78" s="3"/>
      <c r="H78" s="2"/>
      <c r="I78" s="2"/>
      <c r="J78" s="2"/>
      <c r="K78" s="2"/>
      <c r="L78" s="2"/>
      <c r="M78" s="4"/>
      <c r="N78" s="2"/>
      <c r="O78" s="2"/>
      <c r="P78" s="2"/>
      <c r="Q78" s="5"/>
      <c r="R78" s="5"/>
      <c r="S78" s="2"/>
      <c r="T78" s="2"/>
      <c r="U78" s="2"/>
      <c r="V78" s="9"/>
    </row>
    <row r="79" spans="1:22" ht="12.75" customHeight="1">
      <c r="A79" s="7"/>
      <c r="B79" s="1"/>
      <c r="C79" s="1"/>
      <c r="D79" s="2"/>
      <c r="E79" s="2"/>
      <c r="F79" s="2"/>
      <c r="G79" s="3"/>
      <c r="H79" s="2"/>
      <c r="I79" s="2"/>
      <c r="J79" s="2"/>
      <c r="K79" s="2"/>
      <c r="L79" s="2"/>
      <c r="M79" s="4"/>
      <c r="N79" s="2"/>
      <c r="O79" s="2"/>
      <c r="P79" s="2"/>
      <c r="Q79" s="5"/>
      <c r="R79" s="5"/>
      <c r="S79" s="91" t="s">
        <v>62</v>
      </c>
      <c r="T79" s="77"/>
      <c r="U79" s="40">
        <f>IF($H$66&lt;&gt;"",$U$80*(0.65+0.01*$H$66),"")</f>
        <v>561.75</v>
      </c>
      <c r="V79" s="9"/>
    </row>
    <row r="80" spans="1:22" ht="12.75" customHeight="1">
      <c r="A80" s="7"/>
      <c r="B80" s="1"/>
      <c r="C80" s="1"/>
      <c r="D80" s="2" t="s">
        <v>63</v>
      </c>
      <c r="E80" s="2"/>
      <c r="F80" s="2"/>
      <c r="G80" s="3"/>
      <c r="H80" s="2"/>
      <c r="I80" s="2"/>
      <c r="J80" s="2"/>
      <c r="K80" s="2"/>
      <c r="L80" s="2"/>
      <c r="M80" s="4"/>
      <c r="N80" s="2"/>
      <c r="O80" s="2"/>
      <c r="P80" s="2"/>
      <c r="Q80" s="5"/>
      <c r="R80" s="5"/>
      <c r="S80" s="92" t="s">
        <v>64</v>
      </c>
      <c r="T80" s="77"/>
      <c r="U80" s="41">
        <f>U187+U205</f>
        <v>525</v>
      </c>
      <c r="V80" s="9"/>
    </row>
    <row r="81" spans="1:22" ht="12.75" customHeight="1">
      <c r="A81" s="7"/>
      <c r="B81" s="1"/>
      <c r="C81" s="1"/>
      <c r="D81" s="2"/>
      <c r="E81" s="2"/>
      <c r="F81" s="2"/>
      <c r="G81" s="3"/>
      <c r="H81" s="2"/>
      <c r="I81" s="2"/>
      <c r="J81" s="2"/>
      <c r="K81" s="2"/>
      <c r="L81" s="2"/>
      <c r="M81" s="4"/>
      <c r="N81" s="2"/>
      <c r="O81" s="2"/>
      <c r="P81" s="2"/>
      <c r="Q81" s="5"/>
      <c r="R81" s="5"/>
      <c r="S81" s="2"/>
      <c r="T81" s="2"/>
      <c r="U81" s="2"/>
      <c r="V81" s="9"/>
    </row>
    <row r="82" spans="1:22" ht="42.75" customHeight="1">
      <c r="A82" s="7"/>
      <c r="B82" s="1"/>
      <c r="C82" s="42"/>
      <c r="D82" s="43" t="s">
        <v>65</v>
      </c>
      <c r="E82" s="43" t="s">
        <v>66</v>
      </c>
      <c r="F82" s="43" t="s">
        <v>67</v>
      </c>
      <c r="G82" s="43" t="s">
        <v>68</v>
      </c>
      <c r="H82" s="43" t="s">
        <v>69</v>
      </c>
      <c r="I82" s="87" t="s">
        <v>70</v>
      </c>
      <c r="J82" s="80"/>
      <c r="K82" s="80"/>
      <c r="L82" s="77"/>
      <c r="M82" s="43" t="s">
        <v>71</v>
      </c>
      <c r="N82" s="45" t="s">
        <v>72</v>
      </c>
      <c r="O82" s="46" t="s">
        <v>12</v>
      </c>
      <c r="P82" s="46" t="s">
        <v>73</v>
      </c>
      <c r="Q82" s="45" t="s">
        <v>74</v>
      </c>
      <c r="R82" s="44" t="s">
        <v>75</v>
      </c>
      <c r="S82" s="44" t="s">
        <v>76</v>
      </c>
      <c r="T82" s="47" t="s">
        <v>13</v>
      </c>
      <c r="U82" s="43" t="s">
        <v>77</v>
      </c>
      <c r="V82" s="48"/>
    </row>
    <row r="83" spans="1:22" ht="21.75" customHeight="1">
      <c r="A83" s="7"/>
      <c r="B83" s="1"/>
      <c r="C83" s="42"/>
      <c r="D83" s="93" t="s">
        <v>78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77"/>
      <c r="V83" s="9"/>
    </row>
    <row r="84" spans="1:22" ht="12.75" customHeight="1">
      <c r="A84" s="7"/>
      <c r="B84" s="1"/>
      <c r="C84" s="42"/>
      <c r="D84" s="34">
        <v>1</v>
      </c>
      <c r="E84" s="49" t="s">
        <v>79</v>
      </c>
      <c r="F84" s="94" t="s">
        <v>80</v>
      </c>
      <c r="G84" s="95" t="s">
        <v>81</v>
      </c>
      <c r="H84" s="49" t="s">
        <v>82</v>
      </c>
      <c r="I84" s="83" t="s">
        <v>83</v>
      </c>
      <c r="J84" s="80"/>
      <c r="K84" s="80"/>
      <c r="L84" s="77"/>
      <c r="M84" s="84" t="s">
        <v>84</v>
      </c>
      <c r="N84" s="34" t="s">
        <v>31</v>
      </c>
      <c r="O84" s="34">
        <v>7</v>
      </c>
      <c r="P84" s="34">
        <v>1</v>
      </c>
      <c r="Q84" s="51" t="s">
        <v>85</v>
      </c>
      <c r="R84" s="51" t="s">
        <v>86</v>
      </c>
      <c r="S84" s="52" t="str">
        <f t="shared" ref="S84:S186" si="0">IF(N84&lt;&gt;"",IF(OR(N84="ILF",N84="EIF"),INDEX($L$53:$N$55,MATCH(P84,$K$53:$K$55),MATCH(O84,$L$52:$N$52)),IF(N84="EI",INDEX($L$60:$N$62,MATCH(P84,$K$60:$K$62),MATCH(O84,$L$59:$N$59)),IF(OR(N84="EO",N84="EQ"),INDEX($L$66:$N$68,MATCH(P84,$K$66:$K$68),MATCH(O84,$L$65:$N$65)),"#err"))),"")</f>
        <v>Low</v>
      </c>
      <c r="T84" s="52">
        <f t="shared" ref="T84:T186" si="1">IF(S84&lt;&gt;"",INDEX($R$53:$T$57,MATCH(N84,$Q$53:$Q$57,0),MATCH(S84,$R$52:$T$52,0)),"")</f>
        <v>3</v>
      </c>
      <c r="U84" s="53">
        <f t="shared" ref="U84:U186" si="2">IF(V84="",T84,T84*V84)</f>
        <v>3</v>
      </c>
      <c r="V84" s="9"/>
    </row>
    <row r="85" spans="1:22" ht="12.75" customHeight="1">
      <c r="A85" s="7"/>
      <c r="B85" s="1"/>
      <c r="C85" s="42"/>
      <c r="D85" s="34">
        <v>2</v>
      </c>
      <c r="E85" s="49" t="s">
        <v>87</v>
      </c>
      <c r="F85" s="85"/>
      <c r="G85" s="78"/>
      <c r="H85" s="49" t="s">
        <v>88</v>
      </c>
      <c r="I85" s="83" t="s">
        <v>89</v>
      </c>
      <c r="J85" s="80"/>
      <c r="K85" s="80"/>
      <c r="L85" s="77"/>
      <c r="M85" s="85"/>
      <c r="N85" s="34" t="s">
        <v>26</v>
      </c>
      <c r="O85" s="34">
        <v>7</v>
      </c>
      <c r="P85" s="34">
        <v>2</v>
      </c>
      <c r="Q85" s="51" t="s">
        <v>90</v>
      </c>
      <c r="R85" s="51" t="s">
        <v>91</v>
      </c>
      <c r="S85" s="52" t="str">
        <f t="shared" si="0"/>
        <v>Average</v>
      </c>
      <c r="T85" s="52">
        <f t="shared" si="1"/>
        <v>4</v>
      </c>
      <c r="U85" s="53">
        <f t="shared" si="2"/>
        <v>4</v>
      </c>
      <c r="V85" s="9"/>
    </row>
    <row r="86" spans="1:22" ht="12.75" customHeight="1">
      <c r="A86" s="7"/>
      <c r="B86" s="1"/>
      <c r="C86" s="42"/>
      <c r="D86" s="34">
        <v>3</v>
      </c>
      <c r="E86" s="49" t="s">
        <v>92</v>
      </c>
      <c r="F86" s="85"/>
      <c r="G86" s="78"/>
      <c r="H86" s="49" t="s">
        <v>93</v>
      </c>
      <c r="I86" s="83" t="s">
        <v>94</v>
      </c>
      <c r="J86" s="80"/>
      <c r="K86" s="80"/>
      <c r="L86" s="77"/>
      <c r="M86" s="85"/>
      <c r="N86" s="34" t="s">
        <v>31</v>
      </c>
      <c r="O86" s="34">
        <v>2</v>
      </c>
      <c r="P86" s="34">
        <v>1</v>
      </c>
      <c r="Q86" s="51" t="s">
        <v>95</v>
      </c>
      <c r="R86" s="51" t="s">
        <v>96</v>
      </c>
      <c r="S86" s="52" t="str">
        <f t="shared" si="0"/>
        <v>Low</v>
      </c>
      <c r="T86" s="52">
        <f t="shared" si="1"/>
        <v>3</v>
      </c>
      <c r="U86" s="53">
        <f t="shared" si="2"/>
        <v>3</v>
      </c>
      <c r="V86" s="9"/>
    </row>
    <row r="87" spans="1:22" ht="12.75" customHeight="1">
      <c r="A87" s="7"/>
      <c r="B87" s="1"/>
      <c r="C87" s="42"/>
      <c r="D87" s="34">
        <v>4</v>
      </c>
      <c r="E87" s="49" t="s">
        <v>97</v>
      </c>
      <c r="F87" s="85"/>
      <c r="G87" s="82"/>
      <c r="H87" s="49" t="s">
        <v>98</v>
      </c>
      <c r="I87" s="83" t="s">
        <v>99</v>
      </c>
      <c r="J87" s="80"/>
      <c r="K87" s="80"/>
      <c r="L87" s="77"/>
      <c r="M87" s="86"/>
      <c r="N87" s="34" t="s">
        <v>26</v>
      </c>
      <c r="O87" s="34">
        <v>16</v>
      </c>
      <c r="P87" s="34">
        <v>3</v>
      </c>
      <c r="Q87" s="51" t="s">
        <v>100</v>
      </c>
      <c r="R87" s="51" t="s">
        <v>101</v>
      </c>
      <c r="S87" s="52" t="str">
        <f t="shared" si="0"/>
        <v>High</v>
      </c>
      <c r="T87" s="52">
        <f t="shared" si="1"/>
        <v>6</v>
      </c>
      <c r="U87" s="53">
        <f t="shared" si="2"/>
        <v>6</v>
      </c>
      <c r="V87" s="9"/>
    </row>
    <row r="88" spans="1:22" ht="12.75" customHeight="1">
      <c r="A88" s="7"/>
      <c r="B88" s="1"/>
      <c r="C88" s="42"/>
      <c r="D88" s="34">
        <v>5</v>
      </c>
      <c r="E88" s="49" t="s">
        <v>102</v>
      </c>
      <c r="F88" s="85"/>
      <c r="G88" s="84" t="s">
        <v>103</v>
      </c>
      <c r="H88" s="49" t="s">
        <v>104</v>
      </c>
      <c r="I88" s="83" t="s">
        <v>105</v>
      </c>
      <c r="J88" s="80"/>
      <c r="K88" s="80"/>
      <c r="L88" s="77"/>
      <c r="M88" s="84" t="s">
        <v>106</v>
      </c>
      <c r="N88" s="34" t="s">
        <v>31</v>
      </c>
      <c r="O88" s="34">
        <v>4</v>
      </c>
      <c r="P88" s="34">
        <v>1</v>
      </c>
      <c r="Q88" s="51" t="s">
        <v>85</v>
      </c>
      <c r="R88" s="51" t="s">
        <v>107</v>
      </c>
      <c r="S88" s="52" t="str">
        <f t="shared" si="0"/>
        <v>Low</v>
      </c>
      <c r="T88" s="52">
        <f t="shared" si="1"/>
        <v>3</v>
      </c>
      <c r="U88" s="53">
        <f t="shared" si="2"/>
        <v>3</v>
      </c>
      <c r="V88" s="9"/>
    </row>
    <row r="89" spans="1:22" ht="12.75" customHeight="1">
      <c r="A89" s="7"/>
      <c r="B89" s="1"/>
      <c r="C89" s="42"/>
      <c r="D89" s="34">
        <v>6</v>
      </c>
      <c r="E89" s="49" t="s">
        <v>108</v>
      </c>
      <c r="F89" s="85"/>
      <c r="G89" s="85"/>
      <c r="H89" s="49" t="s">
        <v>109</v>
      </c>
      <c r="I89" s="83" t="s">
        <v>110</v>
      </c>
      <c r="J89" s="80"/>
      <c r="K89" s="80"/>
      <c r="L89" s="77"/>
      <c r="M89" s="85"/>
      <c r="N89" s="34" t="s">
        <v>26</v>
      </c>
      <c r="O89" s="34">
        <v>3</v>
      </c>
      <c r="P89" s="34">
        <v>1</v>
      </c>
      <c r="Q89" s="51" t="s">
        <v>111</v>
      </c>
      <c r="R89" s="51" t="s">
        <v>112</v>
      </c>
      <c r="S89" s="52" t="str">
        <f t="shared" si="0"/>
        <v>Low</v>
      </c>
      <c r="T89" s="52">
        <f t="shared" si="1"/>
        <v>3</v>
      </c>
      <c r="U89" s="53">
        <f t="shared" si="2"/>
        <v>3</v>
      </c>
      <c r="V89" s="9"/>
    </row>
    <row r="90" spans="1:22" ht="12.75" customHeight="1">
      <c r="A90" s="7"/>
      <c r="B90" s="1"/>
      <c r="C90" s="42"/>
      <c r="D90" s="34">
        <v>7</v>
      </c>
      <c r="E90" s="49" t="s">
        <v>113</v>
      </c>
      <c r="F90" s="85"/>
      <c r="G90" s="85"/>
      <c r="H90" s="49" t="s">
        <v>114</v>
      </c>
      <c r="I90" s="83" t="s">
        <v>115</v>
      </c>
      <c r="J90" s="80"/>
      <c r="K90" s="80"/>
      <c r="L90" s="77"/>
      <c r="M90" s="85"/>
      <c r="N90" s="34" t="s">
        <v>26</v>
      </c>
      <c r="O90" s="34">
        <v>5</v>
      </c>
      <c r="P90" s="34">
        <v>2</v>
      </c>
      <c r="Q90" s="51" t="s">
        <v>116</v>
      </c>
      <c r="R90" s="51" t="s">
        <v>117</v>
      </c>
      <c r="S90" s="52" t="str">
        <f t="shared" si="0"/>
        <v>Average</v>
      </c>
      <c r="T90" s="52">
        <f t="shared" si="1"/>
        <v>4</v>
      </c>
      <c r="U90" s="53">
        <f t="shared" si="2"/>
        <v>4</v>
      </c>
      <c r="V90" s="9"/>
    </row>
    <row r="91" spans="1:22" ht="12.75" customHeight="1">
      <c r="A91" s="7"/>
      <c r="B91" s="1"/>
      <c r="C91" s="42"/>
      <c r="D91" s="34">
        <v>8</v>
      </c>
      <c r="E91" s="49" t="s">
        <v>118</v>
      </c>
      <c r="F91" s="85"/>
      <c r="G91" s="86"/>
      <c r="H91" s="49" t="s">
        <v>119</v>
      </c>
      <c r="I91" s="83" t="s">
        <v>120</v>
      </c>
      <c r="J91" s="80"/>
      <c r="K91" s="80"/>
      <c r="L91" s="77"/>
      <c r="M91" s="85"/>
      <c r="N91" s="34" t="s">
        <v>31</v>
      </c>
      <c r="O91" s="34">
        <v>1</v>
      </c>
      <c r="P91" s="34">
        <v>1</v>
      </c>
      <c r="Q91" s="51" t="s">
        <v>121</v>
      </c>
      <c r="R91" s="51" t="s">
        <v>122</v>
      </c>
      <c r="S91" s="52" t="str">
        <f t="shared" si="0"/>
        <v>Low</v>
      </c>
      <c r="T91" s="52">
        <f t="shared" si="1"/>
        <v>3</v>
      </c>
      <c r="U91" s="53">
        <f t="shared" si="2"/>
        <v>3</v>
      </c>
      <c r="V91" s="9"/>
    </row>
    <row r="92" spans="1:22" ht="12.75" customHeight="1">
      <c r="A92" s="7"/>
      <c r="B92" s="1"/>
      <c r="C92" s="42"/>
      <c r="D92" s="34">
        <v>9</v>
      </c>
      <c r="E92" s="49" t="s">
        <v>123</v>
      </c>
      <c r="F92" s="85"/>
      <c r="G92" s="84" t="s">
        <v>124</v>
      </c>
      <c r="H92" s="49" t="s">
        <v>125</v>
      </c>
      <c r="I92" s="83" t="s">
        <v>126</v>
      </c>
      <c r="J92" s="80"/>
      <c r="K92" s="80"/>
      <c r="L92" s="77"/>
      <c r="M92" s="85"/>
      <c r="N92" s="34" t="s">
        <v>26</v>
      </c>
      <c r="O92" s="34">
        <v>1</v>
      </c>
      <c r="P92" s="34">
        <v>1</v>
      </c>
      <c r="Q92" s="51" t="s">
        <v>127</v>
      </c>
      <c r="R92" s="51" t="s">
        <v>128</v>
      </c>
      <c r="S92" s="52" t="str">
        <f t="shared" si="0"/>
        <v>Low</v>
      </c>
      <c r="T92" s="52">
        <f t="shared" si="1"/>
        <v>3</v>
      </c>
      <c r="U92" s="53">
        <f t="shared" si="2"/>
        <v>3</v>
      </c>
      <c r="V92" s="9"/>
    </row>
    <row r="93" spans="1:22" ht="12.75" customHeight="1">
      <c r="A93" s="7"/>
      <c r="B93" s="1"/>
      <c r="C93" s="42"/>
      <c r="D93" s="34">
        <v>10</v>
      </c>
      <c r="E93" s="49" t="s">
        <v>129</v>
      </c>
      <c r="F93" s="85"/>
      <c r="G93" s="86"/>
      <c r="H93" s="49" t="s">
        <v>130</v>
      </c>
      <c r="I93" s="83" t="s">
        <v>131</v>
      </c>
      <c r="J93" s="80"/>
      <c r="K93" s="80"/>
      <c r="L93" s="77"/>
      <c r="M93" s="85"/>
      <c r="N93" s="34" t="s">
        <v>31</v>
      </c>
      <c r="O93" s="34">
        <v>1</v>
      </c>
      <c r="P93" s="34">
        <v>1</v>
      </c>
      <c r="Q93" s="51" t="s">
        <v>132</v>
      </c>
      <c r="R93" s="51" t="s">
        <v>133</v>
      </c>
      <c r="S93" s="52" t="str">
        <f t="shared" si="0"/>
        <v>Low</v>
      </c>
      <c r="T93" s="52">
        <f t="shared" si="1"/>
        <v>3</v>
      </c>
      <c r="U93" s="53">
        <f t="shared" si="2"/>
        <v>3</v>
      </c>
      <c r="V93" s="9"/>
    </row>
    <row r="94" spans="1:22" ht="12.75" customHeight="1">
      <c r="A94" s="7"/>
      <c r="B94" s="1"/>
      <c r="C94" s="42"/>
      <c r="D94" s="34">
        <v>11</v>
      </c>
      <c r="E94" s="49" t="s">
        <v>134</v>
      </c>
      <c r="F94" s="85"/>
      <c r="G94" s="89" t="s">
        <v>135</v>
      </c>
      <c r="H94" s="49" t="s">
        <v>136</v>
      </c>
      <c r="I94" s="83" t="s">
        <v>137</v>
      </c>
      <c r="J94" s="80"/>
      <c r="K94" s="80"/>
      <c r="L94" s="77"/>
      <c r="M94" s="85"/>
      <c r="N94" s="34" t="s">
        <v>31</v>
      </c>
      <c r="O94" s="34">
        <v>2</v>
      </c>
      <c r="P94" s="34">
        <v>1</v>
      </c>
      <c r="Q94" s="51" t="s">
        <v>85</v>
      </c>
      <c r="R94" s="51" t="s">
        <v>138</v>
      </c>
      <c r="S94" s="52" t="str">
        <f t="shared" si="0"/>
        <v>Low</v>
      </c>
      <c r="T94" s="52">
        <f t="shared" si="1"/>
        <v>3</v>
      </c>
      <c r="U94" s="53">
        <f t="shared" si="2"/>
        <v>3</v>
      </c>
      <c r="V94" s="9"/>
    </row>
    <row r="95" spans="1:22" ht="12.75" customHeight="1">
      <c r="A95" s="7"/>
      <c r="B95" s="1"/>
      <c r="C95" s="42"/>
      <c r="D95" s="34">
        <v>12</v>
      </c>
      <c r="E95" s="49" t="s">
        <v>139</v>
      </c>
      <c r="F95" s="85"/>
      <c r="G95" s="85"/>
      <c r="H95" s="49" t="s">
        <v>140</v>
      </c>
      <c r="I95" s="83" t="s">
        <v>141</v>
      </c>
      <c r="J95" s="80"/>
      <c r="K95" s="80"/>
      <c r="L95" s="77"/>
      <c r="M95" s="85"/>
      <c r="N95" s="34" t="s">
        <v>26</v>
      </c>
      <c r="O95" s="34">
        <v>6</v>
      </c>
      <c r="P95" s="34">
        <v>3</v>
      </c>
      <c r="Q95" s="51" t="s">
        <v>95</v>
      </c>
      <c r="R95" s="51" t="s">
        <v>142</v>
      </c>
      <c r="S95" s="52" t="str">
        <f t="shared" si="0"/>
        <v>High</v>
      </c>
      <c r="T95" s="52">
        <f t="shared" si="1"/>
        <v>6</v>
      </c>
      <c r="U95" s="53">
        <f t="shared" si="2"/>
        <v>6</v>
      </c>
      <c r="V95" s="9"/>
    </row>
    <row r="96" spans="1:22" ht="12.75" customHeight="1">
      <c r="A96" s="7"/>
      <c r="B96" s="1"/>
      <c r="C96" s="42"/>
      <c r="D96" s="34">
        <v>13</v>
      </c>
      <c r="E96" s="49" t="s">
        <v>143</v>
      </c>
      <c r="F96" s="85"/>
      <c r="G96" s="85"/>
      <c r="H96" s="49" t="s">
        <v>144</v>
      </c>
      <c r="I96" s="83" t="s">
        <v>145</v>
      </c>
      <c r="J96" s="80"/>
      <c r="K96" s="80"/>
      <c r="L96" s="77"/>
      <c r="M96" s="85"/>
      <c r="N96" s="34" t="s">
        <v>28</v>
      </c>
      <c r="O96" s="34">
        <v>10</v>
      </c>
      <c r="P96" s="34">
        <v>2</v>
      </c>
      <c r="Q96" s="51" t="s">
        <v>146</v>
      </c>
      <c r="R96" s="51" t="s">
        <v>147</v>
      </c>
      <c r="S96" s="52" t="str">
        <f t="shared" si="0"/>
        <v>Average</v>
      </c>
      <c r="T96" s="52">
        <f t="shared" si="1"/>
        <v>5</v>
      </c>
      <c r="U96" s="53">
        <f t="shared" si="2"/>
        <v>5</v>
      </c>
      <c r="V96" s="9"/>
    </row>
    <row r="97" spans="1:22" ht="12.75" customHeight="1">
      <c r="A97" s="7"/>
      <c r="B97" s="1"/>
      <c r="C97" s="42"/>
      <c r="D97" s="34">
        <v>14</v>
      </c>
      <c r="E97" s="49" t="s">
        <v>148</v>
      </c>
      <c r="F97" s="85"/>
      <c r="G97" s="85"/>
      <c r="H97" s="49" t="s">
        <v>149</v>
      </c>
      <c r="I97" s="83" t="s">
        <v>150</v>
      </c>
      <c r="J97" s="80"/>
      <c r="K97" s="80"/>
      <c r="L97" s="77"/>
      <c r="M97" s="85"/>
      <c r="N97" s="34" t="s">
        <v>26</v>
      </c>
      <c r="O97" s="34">
        <v>8</v>
      </c>
      <c r="P97" s="34">
        <v>2</v>
      </c>
      <c r="Q97" s="51" t="s">
        <v>151</v>
      </c>
      <c r="R97" s="51" t="s">
        <v>152</v>
      </c>
      <c r="S97" s="52" t="str">
        <f t="shared" si="0"/>
        <v>Average</v>
      </c>
      <c r="T97" s="52">
        <f t="shared" si="1"/>
        <v>4</v>
      </c>
      <c r="U97" s="53">
        <f t="shared" si="2"/>
        <v>4</v>
      </c>
      <c r="V97" s="9"/>
    </row>
    <row r="98" spans="1:22" ht="12.75" customHeight="1">
      <c r="A98" s="7"/>
      <c r="B98" s="1"/>
      <c r="C98" s="42"/>
      <c r="D98" s="34">
        <v>15</v>
      </c>
      <c r="E98" s="49" t="s">
        <v>153</v>
      </c>
      <c r="F98" s="85"/>
      <c r="G98" s="86"/>
      <c r="H98" s="49" t="s">
        <v>154</v>
      </c>
      <c r="I98" s="83" t="s">
        <v>155</v>
      </c>
      <c r="J98" s="80"/>
      <c r="K98" s="80"/>
      <c r="L98" s="77"/>
      <c r="M98" s="85"/>
      <c r="N98" s="34" t="s">
        <v>26</v>
      </c>
      <c r="O98" s="34">
        <v>16</v>
      </c>
      <c r="P98" s="34">
        <v>4</v>
      </c>
      <c r="Q98" s="51" t="s">
        <v>156</v>
      </c>
      <c r="R98" s="51" t="s">
        <v>157</v>
      </c>
      <c r="S98" s="52" t="str">
        <f t="shared" si="0"/>
        <v>High</v>
      </c>
      <c r="T98" s="52">
        <f t="shared" si="1"/>
        <v>6</v>
      </c>
      <c r="U98" s="53">
        <f t="shared" si="2"/>
        <v>6</v>
      </c>
      <c r="V98" s="9"/>
    </row>
    <row r="99" spans="1:22" ht="12.75" customHeight="1">
      <c r="A99" s="7"/>
      <c r="B99" s="1"/>
      <c r="C99" s="42"/>
      <c r="D99" s="34">
        <v>16</v>
      </c>
      <c r="E99" s="49" t="s">
        <v>158</v>
      </c>
      <c r="F99" s="85"/>
      <c r="G99" s="89" t="s">
        <v>159</v>
      </c>
      <c r="H99" s="49" t="s">
        <v>160</v>
      </c>
      <c r="I99" s="83" t="s">
        <v>161</v>
      </c>
      <c r="J99" s="80"/>
      <c r="K99" s="80"/>
      <c r="L99" s="77"/>
      <c r="M99" s="85"/>
      <c r="N99" s="34" t="s">
        <v>31</v>
      </c>
      <c r="O99" s="34">
        <v>4</v>
      </c>
      <c r="P99" s="34">
        <v>1</v>
      </c>
      <c r="Q99" s="51" t="s">
        <v>85</v>
      </c>
      <c r="R99" s="51" t="s">
        <v>162</v>
      </c>
      <c r="S99" s="52" t="str">
        <f t="shared" si="0"/>
        <v>Low</v>
      </c>
      <c r="T99" s="52">
        <f t="shared" si="1"/>
        <v>3</v>
      </c>
      <c r="U99" s="53">
        <f t="shared" si="2"/>
        <v>3</v>
      </c>
      <c r="V99" s="9"/>
    </row>
    <row r="100" spans="1:22" ht="12.75" customHeight="1">
      <c r="A100" s="7"/>
      <c r="B100" s="1"/>
      <c r="C100" s="42"/>
      <c r="D100" s="34">
        <v>17</v>
      </c>
      <c r="E100" s="49" t="s">
        <v>163</v>
      </c>
      <c r="F100" s="85"/>
      <c r="G100" s="85"/>
      <c r="H100" s="49" t="s">
        <v>164</v>
      </c>
      <c r="I100" s="83" t="s">
        <v>165</v>
      </c>
      <c r="J100" s="80"/>
      <c r="K100" s="80"/>
      <c r="L100" s="77"/>
      <c r="M100" s="85"/>
      <c r="N100" s="34" t="s">
        <v>26</v>
      </c>
      <c r="O100" s="34">
        <v>7</v>
      </c>
      <c r="P100" s="34">
        <v>2</v>
      </c>
      <c r="Q100" s="51" t="s">
        <v>166</v>
      </c>
      <c r="R100" s="51" t="s">
        <v>167</v>
      </c>
      <c r="S100" s="52" t="str">
        <f t="shared" si="0"/>
        <v>Average</v>
      </c>
      <c r="T100" s="52">
        <f t="shared" si="1"/>
        <v>4</v>
      </c>
      <c r="U100" s="53">
        <f t="shared" si="2"/>
        <v>4</v>
      </c>
      <c r="V100" s="9"/>
    </row>
    <row r="101" spans="1:22" ht="12.75" customHeight="1">
      <c r="A101" s="7"/>
      <c r="B101" s="1"/>
      <c r="C101" s="42"/>
      <c r="D101" s="34">
        <v>18</v>
      </c>
      <c r="E101" s="49" t="s">
        <v>168</v>
      </c>
      <c r="F101" s="85"/>
      <c r="G101" s="85"/>
      <c r="H101" s="49" t="s">
        <v>169</v>
      </c>
      <c r="I101" s="83" t="s">
        <v>170</v>
      </c>
      <c r="J101" s="80"/>
      <c r="K101" s="80"/>
      <c r="L101" s="77"/>
      <c r="M101" s="85"/>
      <c r="N101" s="34" t="s">
        <v>26</v>
      </c>
      <c r="O101" s="34">
        <v>2</v>
      </c>
      <c r="P101" s="34">
        <v>1</v>
      </c>
      <c r="Q101" s="51" t="s">
        <v>171</v>
      </c>
      <c r="R101" s="51" t="s">
        <v>172</v>
      </c>
      <c r="S101" s="52" t="str">
        <f t="shared" si="0"/>
        <v>Low</v>
      </c>
      <c r="T101" s="52">
        <f t="shared" si="1"/>
        <v>3</v>
      </c>
      <c r="U101" s="53">
        <f t="shared" si="2"/>
        <v>3</v>
      </c>
      <c r="V101" s="9"/>
    </row>
    <row r="102" spans="1:22" ht="12.75" customHeight="1">
      <c r="A102" s="7"/>
      <c r="B102" s="1"/>
      <c r="C102" s="42"/>
      <c r="D102" s="34">
        <v>19</v>
      </c>
      <c r="E102" s="49" t="s">
        <v>173</v>
      </c>
      <c r="F102" s="86"/>
      <c r="G102" s="86"/>
      <c r="H102" s="49" t="s">
        <v>174</v>
      </c>
      <c r="I102" s="83" t="s">
        <v>175</v>
      </c>
      <c r="J102" s="80"/>
      <c r="K102" s="80"/>
      <c r="L102" s="77"/>
      <c r="M102" s="85"/>
      <c r="N102" s="34" t="s">
        <v>31</v>
      </c>
      <c r="O102" s="34">
        <v>1</v>
      </c>
      <c r="P102" s="34">
        <v>1</v>
      </c>
      <c r="Q102" s="51" t="s">
        <v>176</v>
      </c>
      <c r="R102" s="51" t="s">
        <v>177</v>
      </c>
      <c r="S102" s="52" t="str">
        <f t="shared" si="0"/>
        <v>Low</v>
      </c>
      <c r="T102" s="52">
        <f t="shared" si="1"/>
        <v>3</v>
      </c>
      <c r="U102" s="53">
        <f t="shared" si="2"/>
        <v>3</v>
      </c>
      <c r="V102" s="9"/>
    </row>
    <row r="103" spans="1:22" ht="12.75" customHeight="1">
      <c r="A103" s="7"/>
      <c r="B103" s="1"/>
      <c r="C103" s="42"/>
      <c r="D103" s="34">
        <v>20</v>
      </c>
      <c r="E103" s="49" t="s">
        <v>178</v>
      </c>
      <c r="F103" s="94" t="s">
        <v>179</v>
      </c>
      <c r="G103" s="84" t="s">
        <v>180</v>
      </c>
      <c r="H103" s="49" t="s">
        <v>181</v>
      </c>
      <c r="I103" s="83" t="s">
        <v>182</v>
      </c>
      <c r="J103" s="80"/>
      <c r="K103" s="80"/>
      <c r="L103" s="77"/>
      <c r="M103" s="85"/>
      <c r="N103" s="34" t="s">
        <v>31</v>
      </c>
      <c r="O103" s="34">
        <v>8</v>
      </c>
      <c r="P103" s="34">
        <v>2</v>
      </c>
      <c r="Q103" s="51" t="s">
        <v>183</v>
      </c>
      <c r="R103" s="51" t="s">
        <v>184</v>
      </c>
      <c r="S103" s="52" t="str">
        <f t="shared" si="0"/>
        <v>Average</v>
      </c>
      <c r="T103" s="52">
        <f t="shared" si="1"/>
        <v>4</v>
      </c>
      <c r="U103" s="53">
        <f t="shared" si="2"/>
        <v>4</v>
      </c>
      <c r="V103" s="9"/>
    </row>
    <row r="104" spans="1:22" ht="12.75" customHeight="1">
      <c r="A104" s="7"/>
      <c r="B104" s="1"/>
      <c r="C104" s="42"/>
      <c r="D104" s="34">
        <v>21</v>
      </c>
      <c r="E104" s="49" t="s">
        <v>185</v>
      </c>
      <c r="F104" s="85"/>
      <c r="G104" s="85"/>
      <c r="H104" s="49" t="s">
        <v>186</v>
      </c>
      <c r="I104" s="83" t="s">
        <v>187</v>
      </c>
      <c r="J104" s="80"/>
      <c r="K104" s="80"/>
      <c r="L104" s="77"/>
      <c r="M104" s="85"/>
      <c r="N104" s="34" t="s">
        <v>31</v>
      </c>
      <c r="O104" s="34">
        <v>20</v>
      </c>
      <c r="P104" s="34">
        <v>4</v>
      </c>
      <c r="Q104" s="51" t="s">
        <v>188</v>
      </c>
      <c r="R104" s="51" t="s">
        <v>189</v>
      </c>
      <c r="S104" s="52" t="str">
        <f t="shared" si="0"/>
        <v>High</v>
      </c>
      <c r="T104" s="52">
        <f t="shared" si="1"/>
        <v>6</v>
      </c>
      <c r="U104" s="53">
        <f t="shared" si="2"/>
        <v>6</v>
      </c>
      <c r="V104" s="9"/>
    </row>
    <row r="105" spans="1:22" ht="12.75" customHeight="1">
      <c r="A105" s="7"/>
      <c r="B105" s="1"/>
      <c r="C105" s="42"/>
      <c r="D105" s="34">
        <v>22</v>
      </c>
      <c r="E105" s="49" t="s">
        <v>190</v>
      </c>
      <c r="F105" s="85"/>
      <c r="G105" s="85"/>
      <c r="H105" s="49" t="s">
        <v>191</v>
      </c>
      <c r="I105" s="83" t="s">
        <v>192</v>
      </c>
      <c r="J105" s="80"/>
      <c r="K105" s="80"/>
      <c r="L105" s="77"/>
      <c r="M105" s="85"/>
      <c r="N105" s="34" t="s">
        <v>31</v>
      </c>
      <c r="O105" s="34">
        <v>8</v>
      </c>
      <c r="P105" s="34">
        <v>1</v>
      </c>
      <c r="Q105" s="51" t="s">
        <v>193</v>
      </c>
      <c r="R105" s="51" t="s">
        <v>194</v>
      </c>
      <c r="S105" s="52" t="str">
        <f t="shared" si="0"/>
        <v>Low</v>
      </c>
      <c r="T105" s="52">
        <f t="shared" si="1"/>
        <v>3</v>
      </c>
      <c r="U105" s="53">
        <f t="shared" si="2"/>
        <v>3</v>
      </c>
      <c r="V105" s="9"/>
    </row>
    <row r="106" spans="1:22" ht="12.75" customHeight="1">
      <c r="A106" s="7"/>
      <c r="B106" s="1"/>
      <c r="C106" s="42"/>
      <c r="D106" s="34">
        <v>23</v>
      </c>
      <c r="E106" s="49" t="s">
        <v>195</v>
      </c>
      <c r="F106" s="85"/>
      <c r="G106" s="86"/>
      <c r="H106" s="49" t="s">
        <v>196</v>
      </c>
      <c r="I106" s="83" t="s">
        <v>197</v>
      </c>
      <c r="J106" s="80"/>
      <c r="K106" s="80"/>
      <c r="L106" s="77"/>
      <c r="M106" s="85"/>
      <c r="N106" s="34" t="s">
        <v>31</v>
      </c>
      <c r="O106" s="34">
        <v>1</v>
      </c>
      <c r="P106" s="34">
        <v>1</v>
      </c>
      <c r="Q106" s="51" t="s">
        <v>198</v>
      </c>
      <c r="R106" s="51" t="s">
        <v>199</v>
      </c>
      <c r="S106" s="52" t="str">
        <f t="shared" si="0"/>
        <v>Low</v>
      </c>
      <c r="T106" s="52">
        <f t="shared" si="1"/>
        <v>3</v>
      </c>
      <c r="U106" s="53">
        <f t="shared" si="2"/>
        <v>3</v>
      </c>
      <c r="V106" s="9"/>
    </row>
    <row r="107" spans="1:22" ht="12.75" customHeight="1">
      <c r="A107" s="7"/>
      <c r="B107" s="1"/>
      <c r="C107" s="42"/>
      <c r="D107" s="34">
        <v>24</v>
      </c>
      <c r="E107" s="49" t="s">
        <v>200</v>
      </c>
      <c r="F107" s="85"/>
      <c r="G107" s="84" t="s">
        <v>201</v>
      </c>
      <c r="H107" s="49" t="s">
        <v>202</v>
      </c>
      <c r="I107" s="83" t="s">
        <v>203</v>
      </c>
      <c r="J107" s="80"/>
      <c r="K107" s="80"/>
      <c r="L107" s="77"/>
      <c r="M107" s="85"/>
      <c r="N107" s="34" t="s">
        <v>31</v>
      </c>
      <c r="O107" s="34">
        <v>8</v>
      </c>
      <c r="P107" s="34">
        <v>2</v>
      </c>
      <c r="Q107" s="51" t="s">
        <v>204</v>
      </c>
      <c r="R107" s="51" t="s">
        <v>205</v>
      </c>
      <c r="S107" s="52" t="str">
        <f t="shared" si="0"/>
        <v>Average</v>
      </c>
      <c r="T107" s="52">
        <f t="shared" si="1"/>
        <v>4</v>
      </c>
      <c r="U107" s="53">
        <f t="shared" si="2"/>
        <v>4</v>
      </c>
      <c r="V107" s="9"/>
    </row>
    <row r="108" spans="1:22" ht="12.75" customHeight="1">
      <c r="A108" s="7"/>
      <c r="B108" s="1"/>
      <c r="C108" s="42"/>
      <c r="D108" s="34">
        <v>25</v>
      </c>
      <c r="E108" s="49" t="s">
        <v>206</v>
      </c>
      <c r="F108" s="85"/>
      <c r="G108" s="85"/>
      <c r="H108" s="49" t="s">
        <v>207</v>
      </c>
      <c r="I108" s="83" t="s">
        <v>208</v>
      </c>
      <c r="J108" s="80"/>
      <c r="K108" s="80"/>
      <c r="L108" s="77"/>
      <c r="M108" s="85"/>
      <c r="N108" s="34" t="s">
        <v>31</v>
      </c>
      <c r="O108" s="34">
        <v>8</v>
      </c>
      <c r="P108" s="34">
        <v>1</v>
      </c>
      <c r="Q108" s="51" t="s">
        <v>209</v>
      </c>
      <c r="R108" s="51" t="s">
        <v>210</v>
      </c>
      <c r="S108" s="52" t="str">
        <f t="shared" si="0"/>
        <v>Low</v>
      </c>
      <c r="T108" s="52">
        <f t="shared" si="1"/>
        <v>3</v>
      </c>
      <c r="U108" s="53">
        <f t="shared" si="2"/>
        <v>3</v>
      </c>
      <c r="V108" s="9"/>
    </row>
    <row r="109" spans="1:22" ht="12.75" customHeight="1">
      <c r="A109" s="7"/>
      <c r="B109" s="1"/>
      <c r="C109" s="42"/>
      <c r="D109" s="34">
        <v>26</v>
      </c>
      <c r="E109" s="49" t="s">
        <v>211</v>
      </c>
      <c r="F109" s="85"/>
      <c r="G109" s="85"/>
      <c r="H109" s="49" t="s">
        <v>212</v>
      </c>
      <c r="I109" s="83" t="s">
        <v>213</v>
      </c>
      <c r="J109" s="80"/>
      <c r="K109" s="80"/>
      <c r="L109" s="77"/>
      <c r="M109" s="85"/>
      <c r="N109" s="34" t="s">
        <v>26</v>
      </c>
      <c r="O109" s="34">
        <v>7</v>
      </c>
      <c r="P109" s="34">
        <v>1</v>
      </c>
      <c r="Q109" s="51" t="s">
        <v>214</v>
      </c>
      <c r="R109" s="51" t="s">
        <v>215</v>
      </c>
      <c r="S109" s="52" t="str">
        <f t="shared" si="0"/>
        <v>Low</v>
      </c>
      <c r="T109" s="52">
        <f t="shared" si="1"/>
        <v>3</v>
      </c>
      <c r="U109" s="53">
        <f t="shared" si="2"/>
        <v>3</v>
      </c>
      <c r="V109" s="9"/>
    </row>
    <row r="110" spans="1:22" ht="12.75" customHeight="1">
      <c r="A110" s="7"/>
      <c r="B110" s="1"/>
      <c r="C110" s="42"/>
      <c r="D110" s="34">
        <v>27</v>
      </c>
      <c r="E110" s="49" t="s">
        <v>216</v>
      </c>
      <c r="F110" s="85"/>
      <c r="G110" s="85"/>
      <c r="H110" s="49" t="s">
        <v>217</v>
      </c>
      <c r="I110" s="83" t="s">
        <v>218</v>
      </c>
      <c r="J110" s="80"/>
      <c r="K110" s="80"/>
      <c r="L110" s="77"/>
      <c r="M110" s="85"/>
      <c r="N110" s="34" t="s">
        <v>26</v>
      </c>
      <c r="O110" s="34">
        <v>16</v>
      </c>
      <c r="P110" s="34">
        <v>2</v>
      </c>
      <c r="Q110" s="51" t="s">
        <v>219</v>
      </c>
      <c r="R110" s="51" t="s">
        <v>220</v>
      </c>
      <c r="S110" s="52" t="str">
        <f t="shared" si="0"/>
        <v>High</v>
      </c>
      <c r="T110" s="52">
        <f t="shared" si="1"/>
        <v>6</v>
      </c>
      <c r="U110" s="53">
        <f t="shared" si="2"/>
        <v>6</v>
      </c>
      <c r="V110" s="9"/>
    </row>
    <row r="111" spans="1:22" ht="12.75" customHeight="1">
      <c r="A111" s="7"/>
      <c r="B111" s="1"/>
      <c r="C111" s="42"/>
      <c r="D111" s="34">
        <v>28</v>
      </c>
      <c r="E111" s="49" t="s">
        <v>221</v>
      </c>
      <c r="F111" s="86"/>
      <c r="G111" s="86"/>
      <c r="H111" s="49" t="s">
        <v>222</v>
      </c>
      <c r="I111" s="83" t="s">
        <v>223</v>
      </c>
      <c r="J111" s="80"/>
      <c r="K111" s="80"/>
      <c r="L111" s="77"/>
      <c r="M111" s="86"/>
      <c r="N111" s="34" t="s">
        <v>31</v>
      </c>
      <c r="O111" s="34">
        <v>2</v>
      </c>
      <c r="P111" s="34">
        <v>1</v>
      </c>
      <c r="Q111" s="51" t="s">
        <v>224</v>
      </c>
      <c r="R111" s="51" t="s">
        <v>225</v>
      </c>
      <c r="S111" s="52" t="str">
        <f t="shared" si="0"/>
        <v>Low</v>
      </c>
      <c r="T111" s="52">
        <f t="shared" si="1"/>
        <v>3</v>
      </c>
      <c r="U111" s="53">
        <f t="shared" si="2"/>
        <v>3</v>
      </c>
      <c r="V111" s="9"/>
    </row>
    <row r="112" spans="1:22" ht="12.75" customHeight="1">
      <c r="A112" s="7"/>
      <c r="B112" s="1"/>
      <c r="C112" s="42"/>
      <c r="D112" s="34">
        <v>29</v>
      </c>
      <c r="E112" s="49" t="s">
        <v>226</v>
      </c>
      <c r="F112" s="94" t="s">
        <v>227</v>
      </c>
      <c r="G112" s="84" t="s">
        <v>228</v>
      </c>
      <c r="H112" s="49" t="s">
        <v>229</v>
      </c>
      <c r="I112" s="83" t="s">
        <v>230</v>
      </c>
      <c r="J112" s="80"/>
      <c r="K112" s="80"/>
      <c r="L112" s="77"/>
      <c r="M112" s="84" t="s">
        <v>231</v>
      </c>
      <c r="N112" s="34" t="s">
        <v>31</v>
      </c>
      <c r="O112" s="34">
        <v>6</v>
      </c>
      <c r="P112" s="34">
        <v>1</v>
      </c>
      <c r="Q112" s="51" t="s">
        <v>232</v>
      </c>
      <c r="R112" s="51" t="s">
        <v>233</v>
      </c>
      <c r="S112" s="52" t="str">
        <f t="shared" si="0"/>
        <v>Low</v>
      </c>
      <c r="T112" s="52">
        <f t="shared" si="1"/>
        <v>3</v>
      </c>
      <c r="U112" s="53">
        <f t="shared" si="2"/>
        <v>3</v>
      </c>
      <c r="V112" s="9"/>
    </row>
    <row r="113" spans="1:22" ht="12.75" customHeight="1">
      <c r="A113" s="7"/>
      <c r="B113" s="1"/>
      <c r="C113" s="42"/>
      <c r="D113" s="34">
        <v>30</v>
      </c>
      <c r="E113" s="49" t="s">
        <v>234</v>
      </c>
      <c r="F113" s="85"/>
      <c r="G113" s="85"/>
      <c r="H113" s="49" t="s">
        <v>235</v>
      </c>
      <c r="I113" s="83" t="s">
        <v>236</v>
      </c>
      <c r="J113" s="80"/>
      <c r="K113" s="80"/>
      <c r="L113" s="77"/>
      <c r="M113" s="85"/>
      <c r="N113" s="34" t="s">
        <v>31</v>
      </c>
      <c r="O113" s="34">
        <v>4</v>
      </c>
      <c r="P113" s="34">
        <v>1</v>
      </c>
      <c r="Q113" s="51" t="s">
        <v>237</v>
      </c>
      <c r="R113" s="51" t="s">
        <v>238</v>
      </c>
      <c r="S113" s="52" t="str">
        <f t="shared" si="0"/>
        <v>Low</v>
      </c>
      <c r="T113" s="52">
        <f t="shared" si="1"/>
        <v>3</v>
      </c>
      <c r="U113" s="53">
        <f t="shared" si="2"/>
        <v>3</v>
      </c>
      <c r="V113" s="9"/>
    </row>
    <row r="114" spans="1:22" ht="12.75" customHeight="1">
      <c r="A114" s="7"/>
      <c r="B114" s="1"/>
      <c r="C114" s="42"/>
      <c r="D114" s="34">
        <v>31</v>
      </c>
      <c r="E114" s="49" t="s">
        <v>239</v>
      </c>
      <c r="F114" s="85"/>
      <c r="G114" s="85"/>
      <c r="H114" s="49" t="s">
        <v>240</v>
      </c>
      <c r="I114" s="83" t="s">
        <v>241</v>
      </c>
      <c r="J114" s="80"/>
      <c r="K114" s="80"/>
      <c r="L114" s="77"/>
      <c r="M114" s="85"/>
      <c r="N114" s="34" t="s">
        <v>31</v>
      </c>
      <c r="O114" s="34">
        <v>20</v>
      </c>
      <c r="P114" s="34">
        <v>4</v>
      </c>
      <c r="Q114" s="51" t="s">
        <v>242</v>
      </c>
      <c r="R114" s="51" t="s">
        <v>243</v>
      </c>
      <c r="S114" s="52" t="str">
        <f t="shared" si="0"/>
        <v>High</v>
      </c>
      <c r="T114" s="52">
        <f t="shared" si="1"/>
        <v>6</v>
      </c>
      <c r="U114" s="53">
        <f t="shared" si="2"/>
        <v>6</v>
      </c>
      <c r="V114" s="9"/>
    </row>
    <row r="115" spans="1:22" ht="12.75" customHeight="1">
      <c r="A115" s="7"/>
      <c r="B115" s="1"/>
      <c r="C115" s="42"/>
      <c r="D115" s="34">
        <v>32</v>
      </c>
      <c r="E115" s="49" t="s">
        <v>244</v>
      </c>
      <c r="F115" s="85"/>
      <c r="G115" s="86"/>
      <c r="H115" s="49" t="s">
        <v>196</v>
      </c>
      <c r="I115" s="83" t="s">
        <v>245</v>
      </c>
      <c r="J115" s="80"/>
      <c r="K115" s="80"/>
      <c r="L115" s="77"/>
      <c r="M115" s="85"/>
      <c r="N115" s="34" t="s">
        <v>31</v>
      </c>
      <c r="O115" s="34">
        <v>1</v>
      </c>
      <c r="P115" s="34">
        <v>1</v>
      </c>
      <c r="Q115" s="51" t="s">
        <v>246</v>
      </c>
      <c r="R115" s="51" t="s">
        <v>247</v>
      </c>
      <c r="S115" s="52" t="str">
        <f t="shared" si="0"/>
        <v>Low</v>
      </c>
      <c r="T115" s="52">
        <f t="shared" si="1"/>
        <v>3</v>
      </c>
      <c r="U115" s="53">
        <f t="shared" si="2"/>
        <v>3</v>
      </c>
      <c r="V115" s="9"/>
    </row>
    <row r="116" spans="1:22" ht="12.75" customHeight="1">
      <c r="A116" s="7"/>
      <c r="B116" s="1"/>
      <c r="C116" s="42"/>
      <c r="D116" s="34">
        <v>33</v>
      </c>
      <c r="E116" s="49" t="s">
        <v>248</v>
      </c>
      <c r="F116" s="85"/>
      <c r="G116" s="84" t="s">
        <v>249</v>
      </c>
      <c r="H116" s="49" t="s">
        <v>250</v>
      </c>
      <c r="I116" s="83" t="s">
        <v>251</v>
      </c>
      <c r="J116" s="80"/>
      <c r="K116" s="80"/>
      <c r="L116" s="77"/>
      <c r="M116" s="85"/>
      <c r="N116" s="34" t="s">
        <v>31</v>
      </c>
      <c r="O116" s="34">
        <v>6</v>
      </c>
      <c r="P116" s="34">
        <v>1</v>
      </c>
      <c r="Q116" s="51" t="s">
        <v>252</v>
      </c>
      <c r="R116" s="51" t="s">
        <v>253</v>
      </c>
      <c r="S116" s="52" t="str">
        <f t="shared" si="0"/>
        <v>Low</v>
      </c>
      <c r="T116" s="52">
        <f t="shared" si="1"/>
        <v>3</v>
      </c>
      <c r="U116" s="53">
        <f t="shared" si="2"/>
        <v>3</v>
      </c>
      <c r="V116" s="9"/>
    </row>
    <row r="117" spans="1:22" ht="12.75" customHeight="1">
      <c r="A117" s="7"/>
      <c r="B117" s="1"/>
      <c r="C117" s="42"/>
      <c r="D117" s="34">
        <v>34</v>
      </c>
      <c r="E117" s="49" t="s">
        <v>254</v>
      </c>
      <c r="F117" s="85"/>
      <c r="G117" s="85"/>
      <c r="H117" s="49" t="s">
        <v>255</v>
      </c>
      <c r="I117" s="83" t="s">
        <v>256</v>
      </c>
      <c r="J117" s="80"/>
      <c r="K117" s="80"/>
      <c r="L117" s="77"/>
      <c r="M117" s="85"/>
      <c r="N117" s="34" t="s">
        <v>31</v>
      </c>
      <c r="O117" s="34">
        <v>4</v>
      </c>
      <c r="P117" s="34">
        <v>1</v>
      </c>
      <c r="Q117" s="51" t="s">
        <v>257</v>
      </c>
      <c r="R117" s="51" t="s">
        <v>258</v>
      </c>
      <c r="S117" s="52" t="str">
        <f t="shared" si="0"/>
        <v>Low</v>
      </c>
      <c r="T117" s="52">
        <f t="shared" si="1"/>
        <v>3</v>
      </c>
      <c r="U117" s="53">
        <f t="shared" si="2"/>
        <v>3</v>
      </c>
      <c r="V117" s="9"/>
    </row>
    <row r="118" spans="1:22" ht="12.75" customHeight="1">
      <c r="A118" s="7"/>
      <c r="B118" s="1"/>
      <c r="C118" s="42"/>
      <c r="D118" s="34">
        <v>35</v>
      </c>
      <c r="E118" s="49" t="s">
        <v>259</v>
      </c>
      <c r="F118" s="85"/>
      <c r="G118" s="86"/>
      <c r="H118" s="49" t="s">
        <v>260</v>
      </c>
      <c r="I118" s="83" t="s">
        <v>261</v>
      </c>
      <c r="J118" s="80"/>
      <c r="K118" s="80"/>
      <c r="L118" s="77"/>
      <c r="M118" s="85"/>
      <c r="N118" s="34" t="s">
        <v>31</v>
      </c>
      <c r="O118" s="34">
        <v>15</v>
      </c>
      <c r="P118" s="34">
        <v>3</v>
      </c>
      <c r="Q118" s="51" t="s">
        <v>262</v>
      </c>
      <c r="R118" s="51" t="s">
        <v>263</v>
      </c>
      <c r="S118" s="52" t="str">
        <f t="shared" si="0"/>
        <v>Average</v>
      </c>
      <c r="T118" s="52">
        <f t="shared" si="1"/>
        <v>4</v>
      </c>
      <c r="U118" s="53">
        <f t="shared" si="2"/>
        <v>4</v>
      </c>
      <c r="V118" s="9"/>
    </row>
    <row r="119" spans="1:22" ht="12.75" customHeight="1">
      <c r="A119" s="7"/>
      <c r="B119" s="1"/>
      <c r="C119" s="42"/>
      <c r="D119" s="34">
        <v>36</v>
      </c>
      <c r="E119" s="49" t="s">
        <v>264</v>
      </c>
      <c r="F119" s="85"/>
      <c r="G119" s="84" t="s">
        <v>265</v>
      </c>
      <c r="H119" s="49" t="s">
        <v>266</v>
      </c>
      <c r="I119" s="83" t="s">
        <v>267</v>
      </c>
      <c r="J119" s="80"/>
      <c r="K119" s="80"/>
      <c r="L119" s="77"/>
      <c r="M119" s="85"/>
      <c r="N119" s="34" t="s">
        <v>31</v>
      </c>
      <c r="O119" s="34">
        <v>7</v>
      </c>
      <c r="P119" s="34">
        <v>3</v>
      </c>
      <c r="Q119" s="51" t="s">
        <v>268</v>
      </c>
      <c r="R119" s="51" t="s">
        <v>269</v>
      </c>
      <c r="S119" s="52" t="str">
        <f t="shared" si="0"/>
        <v>Average</v>
      </c>
      <c r="T119" s="52">
        <f t="shared" si="1"/>
        <v>4</v>
      </c>
      <c r="U119" s="53">
        <f t="shared" si="2"/>
        <v>4</v>
      </c>
      <c r="V119" s="9"/>
    </row>
    <row r="120" spans="1:22" ht="12.75" customHeight="1">
      <c r="A120" s="7"/>
      <c r="B120" s="1"/>
      <c r="C120" s="42"/>
      <c r="D120" s="34">
        <v>37</v>
      </c>
      <c r="E120" s="49" t="s">
        <v>270</v>
      </c>
      <c r="F120" s="85"/>
      <c r="G120" s="85"/>
      <c r="H120" s="49" t="s">
        <v>271</v>
      </c>
      <c r="I120" s="83" t="s">
        <v>272</v>
      </c>
      <c r="J120" s="80"/>
      <c r="K120" s="80"/>
      <c r="L120" s="77"/>
      <c r="M120" s="85"/>
      <c r="N120" s="34" t="s">
        <v>26</v>
      </c>
      <c r="O120" s="34">
        <v>6</v>
      </c>
      <c r="P120" s="34">
        <v>2</v>
      </c>
      <c r="Q120" s="51" t="s">
        <v>273</v>
      </c>
      <c r="R120" s="51" t="s">
        <v>274</v>
      </c>
      <c r="S120" s="52" t="str">
        <f t="shared" si="0"/>
        <v>Average</v>
      </c>
      <c r="T120" s="52">
        <f t="shared" si="1"/>
        <v>4</v>
      </c>
      <c r="U120" s="53">
        <f t="shared" si="2"/>
        <v>4</v>
      </c>
      <c r="V120" s="9"/>
    </row>
    <row r="121" spans="1:22" ht="12.75" customHeight="1">
      <c r="A121" s="7"/>
      <c r="B121" s="1"/>
      <c r="C121" s="42"/>
      <c r="D121" s="34">
        <v>38</v>
      </c>
      <c r="E121" s="49" t="s">
        <v>275</v>
      </c>
      <c r="F121" s="85"/>
      <c r="G121" s="85"/>
      <c r="H121" s="49" t="s">
        <v>276</v>
      </c>
      <c r="I121" s="83" t="s">
        <v>277</v>
      </c>
      <c r="J121" s="80"/>
      <c r="K121" s="80"/>
      <c r="L121" s="77"/>
      <c r="M121" s="85"/>
      <c r="N121" s="34" t="s">
        <v>28</v>
      </c>
      <c r="O121" s="34">
        <v>3</v>
      </c>
      <c r="P121" s="34">
        <v>2</v>
      </c>
      <c r="Q121" s="51" t="s">
        <v>278</v>
      </c>
      <c r="R121" s="51" t="s">
        <v>279</v>
      </c>
      <c r="S121" s="52" t="str">
        <f t="shared" si="0"/>
        <v>Low</v>
      </c>
      <c r="T121" s="52">
        <f t="shared" si="1"/>
        <v>4</v>
      </c>
      <c r="U121" s="53">
        <f t="shared" si="2"/>
        <v>4</v>
      </c>
      <c r="V121" s="9"/>
    </row>
    <row r="122" spans="1:22" ht="12.75" customHeight="1">
      <c r="A122" s="7"/>
      <c r="B122" s="1"/>
      <c r="C122" s="42"/>
      <c r="D122" s="34">
        <v>39</v>
      </c>
      <c r="E122" s="49" t="s">
        <v>280</v>
      </c>
      <c r="F122" s="85"/>
      <c r="G122" s="86"/>
      <c r="H122" s="49" t="s">
        <v>281</v>
      </c>
      <c r="I122" s="83" t="s">
        <v>282</v>
      </c>
      <c r="J122" s="80"/>
      <c r="K122" s="80"/>
      <c r="L122" s="77"/>
      <c r="M122" s="86"/>
      <c r="N122" s="34" t="s">
        <v>31</v>
      </c>
      <c r="O122" s="34">
        <v>10</v>
      </c>
      <c r="P122" s="34">
        <v>3</v>
      </c>
      <c r="Q122" s="51" t="s">
        <v>283</v>
      </c>
      <c r="R122" s="51" t="s">
        <v>284</v>
      </c>
      <c r="S122" s="52" t="str">
        <f t="shared" si="0"/>
        <v>Average</v>
      </c>
      <c r="T122" s="52">
        <f t="shared" si="1"/>
        <v>4</v>
      </c>
      <c r="U122" s="53">
        <f t="shared" si="2"/>
        <v>4</v>
      </c>
      <c r="V122" s="9"/>
    </row>
    <row r="123" spans="1:22" ht="12.75" customHeight="1">
      <c r="A123" s="7"/>
      <c r="B123" s="1"/>
      <c r="C123" s="42"/>
      <c r="D123" s="34">
        <v>40</v>
      </c>
      <c r="E123" s="49" t="s">
        <v>285</v>
      </c>
      <c r="F123" s="94" t="s">
        <v>286</v>
      </c>
      <c r="G123" s="84" t="s">
        <v>287</v>
      </c>
      <c r="H123" s="49" t="s">
        <v>288</v>
      </c>
      <c r="I123" s="83" t="s">
        <v>289</v>
      </c>
      <c r="J123" s="80"/>
      <c r="K123" s="80"/>
      <c r="L123" s="77"/>
      <c r="M123" s="84" t="s">
        <v>106</v>
      </c>
      <c r="N123" s="34" t="s">
        <v>31</v>
      </c>
      <c r="O123" s="34">
        <v>6</v>
      </c>
      <c r="P123" s="34">
        <v>1</v>
      </c>
      <c r="Q123" s="51" t="s">
        <v>290</v>
      </c>
      <c r="R123" s="51" t="s">
        <v>291</v>
      </c>
      <c r="S123" s="52" t="str">
        <f t="shared" si="0"/>
        <v>Low</v>
      </c>
      <c r="T123" s="52">
        <f t="shared" si="1"/>
        <v>3</v>
      </c>
      <c r="U123" s="53">
        <f t="shared" si="2"/>
        <v>3</v>
      </c>
      <c r="V123" s="9"/>
    </row>
    <row r="124" spans="1:22" ht="12.75" customHeight="1">
      <c r="A124" s="7"/>
      <c r="B124" s="1"/>
      <c r="C124" s="42"/>
      <c r="D124" s="34">
        <v>41</v>
      </c>
      <c r="E124" s="49" t="s">
        <v>292</v>
      </c>
      <c r="F124" s="85"/>
      <c r="G124" s="85"/>
      <c r="H124" s="49" t="s">
        <v>293</v>
      </c>
      <c r="I124" s="83" t="s">
        <v>294</v>
      </c>
      <c r="J124" s="80"/>
      <c r="K124" s="80"/>
      <c r="L124" s="77"/>
      <c r="M124" s="85"/>
      <c r="N124" s="34" t="s">
        <v>31</v>
      </c>
      <c r="O124" s="34">
        <v>22</v>
      </c>
      <c r="P124" s="34">
        <v>4</v>
      </c>
      <c r="Q124" s="51" t="s">
        <v>295</v>
      </c>
      <c r="R124" s="51" t="s">
        <v>296</v>
      </c>
      <c r="S124" s="52" t="str">
        <f t="shared" si="0"/>
        <v>High</v>
      </c>
      <c r="T124" s="52">
        <f t="shared" si="1"/>
        <v>6</v>
      </c>
      <c r="U124" s="53">
        <f t="shared" si="2"/>
        <v>6</v>
      </c>
      <c r="V124" s="9"/>
    </row>
    <row r="125" spans="1:22" ht="12.75" customHeight="1">
      <c r="A125" s="7"/>
      <c r="B125" s="1"/>
      <c r="C125" s="42"/>
      <c r="D125" s="34">
        <v>42</v>
      </c>
      <c r="E125" s="49" t="s">
        <v>297</v>
      </c>
      <c r="F125" s="85"/>
      <c r="G125" s="85"/>
      <c r="H125" s="49" t="s">
        <v>196</v>
      </c>
      <c r="I125" s="83" t="s">
        <v>298</v>
      </c>
      <c r="J125" s="80"/>
      <c r="K125" s="80"/>
      <c r="L125" s="77"/>
      <c r="M125" s="86"/>
      <c r="N125" s="34" t="s">
        <v>31</v>
      </c>
      <c r="O125" s="34">
        <v>1</v>
      </c>
      <c r="P125" s="34">
        <v>1</v>
      </c>
      <c r="Q125" s="51" t="s">
        <v>299</v>
      </c>
      <c r="R125" s="51" t="s">
        <v>300</v>
      </c>
      <c r="S125" s="52" t="str">
        <f t="shared" si="0"/>
        <v>Low</v>
      </c>
      <c r="T125" s="52">
        <f t="shared" si="1"/>
        <v>3</v>
      </c>
      <c r="U125" s="53">
        <f t="shared" si="2"/>
        <v>3</v>
      </c>
      <c r="V125" s="9"/>
    </row>
    <row r="126" spans="1:22" ht="12.75" customHeight="1">
      <c r="A126" s="7"/>
      <c r="B126" s="1"/>
      <c r="C126" s="42"/>
      <c r="D126" s="34">
        <v>43</v>
      </c>
      <c r="E126" s="49" t="s">
        <v>301</v>
      </c>
      <c r="F126" s="85"/>
      <c r="G126" s="84" t="s">
        <v>302</v>
      </c>
      <c r="H126" s="49" t="s">
        <v>303</v>
      </c>
      <c r="I126" s="83" t="s">
        <v>304</v>
      </c>
      <c r="J126" s="80"/>
      <c r="K126" s="80"/>
      <c r="L126" s="77"/>
      <c r="M126" s="84" t="s">
        <v>231</v>
      </c>
      <c r="N126" s="34" t="s">
        <v>28</v>
      </c>
      <c r="O126" s="34">
        <v>20</v>
      </c>
      <c r="P126" s="34">
        <v>3</v>
      </c>
      <c r="Q126" s="51" t="s">
        <v>305</v>
      </c>
      <c r="R126" s="51" t="s">
        <v>306</v>
      </c>
      <c r="S126" s="52" t="str">
        <f t="shared" si="0"/>
        <v>High</v>
      </c>
      <c r="T126" s="52">
        <f t="shared" si="1"/>
        <v>7</v>
      </c>
      <c r="U126" s="53">
        <f t="shared" si="2"/>
        <v>7</v>
      </c>
      <c r="V126" s="9"/>
    </row>
    <row r="127" spans="1:22" ht="12.75" customHeight="1">
      <c r="A127" s="7"/>
      <c r="B127" s="1"/>
      <c r="C127" s="42"/>
      <c r="D127" s="34">
        <v>44</v>
      </c>
      <c r="E127" s="49" t="s">
        <v>307</v>
      </c>
      <c r="F127" s="85"/>
      <c r="G127" s="85"/>
      <c r="H127" s="49" t="s">
        <v>308</v>
      </c>
      <c r="I127" s="83" t="s">
        <v>309</v>
      </c>
      <c r="J127" s="80"/>
      <c r="K127" s="80"/>
      <c r="L127" s="77"/>
      <c r="M127" s="85"/>
      <c r="N127" s="34" t="s">
        <v>26</v>
      </c>
      <c r="O127" s="34">
        <v>8</v>
      </c>
      <c r="P127" s="34">
        <v>1</v>
      </c>
      <c r="Q127" s="51" t="s">
        <v>310</v>
      </c>
      <c r="R127" s="51" t="s">
        <v>311</v>
      </c>
      <c r="S127" s="52" t="str">
        <f t="shared" si="0"/>
        <v>Low</v>
      </c>
      <c r="T127" s="52">
        <f t="shared" si="1"/>
        <v>3</v>
      </c>
      <c r="U127" s="53">
        <f t="shared" si="2"/>
        <v>3</v>
      </c>
      <c r="V127" s="9"/>
    </row>
    <row r="128" spans="1:22" ht="12.75" customHeight="1">
      <c r="A128" s="7"/>
      <c r="B128" s="1"/>
      <c r="C128" s="42"/>
      <c r="D128" s="34">
        <v>45</v>
      </c>
      <c r="E128" s="49" t="s">
        <v>312</v>
      </c>
      <c r="F128" s="85"/>
      <c r="G128" s="85"/>
      <c r="H128" s="49" t="s">
        <v>313</v>
      </c>
      <c r="I128" s="83" t="s">
        <v>314</v>
      </c>
      <c r="J128" s="80"/>
      <c r="K128" s="80"/>
      <c r="L128" s="77"/>
      <c r="M128" s="85"/>
      <c r="N128" s="34" t="s">
        <v>26</v>
      </c>
      <c r="O128" s="34">
        <v>10</v>
      </c>
      <c r="P128" s="34">
        <v>1</v>
      </c>
      <c r="Q128" s="51" t="s">
        <v>315</v>
      </c>
      <c r="R128" s="51" t="s">
        <v>316</v>
      </c>
      <c r="S128" s="52" t="str">
        <f t="shared" si="0"/>
        <v>Low</v>
      </c>
      <c r="T128" s="52">
        <f t="shared" si="1"/>
        <v>3</v>
      </c>
      <c r="U128" s="53">
        <f t="shared" si="2"/>
        <v>3</v>
      </c>
      <c r="V128" s="9"/>
    </row>
    <row r="129" spans="1:22" ht="12.75" customHeight="1">
      <c r="A129" s="7"/>
      <c r="B129" s="1"/>
      <c r="C129" s="42"/>
      <c r="D129" s="34">
        <v>46</v>
      </c>
      <c r="E129" s="49" t="s">
        <v>317</v>
      </c>
      <c r="F129" s="85"/>
      <c r="G129" s="86"/>
      <c r="H129" s="49" t="s">
        <v>318</v>
      </c>
      <c r="I129" s="83" t="s">
        <v>319</v>
      </c>
      <c r="J129" s="80"/>
      <c r="K129" s="80"/>
      <c r="L129" s="77"/>
      <c r="M129" s="85"/>
      <c r="N129" s="34" t="s">
        <v>28</v>
      </c>
      <c r="O129" s="34">
        <v>4</v>
      </c>
      <c r="P129" s="34">
        <v>2</v>
      </c>
      <c r="Q129" s="51" t="s">
        <v>320</v>
      </c>
      <c r="R129" s="51" t="s">
        <v>321</v>
      </c>
      <c r="S129" s="52" t="str">
        <f t="shared" si="0"/>
        <v>Low</v>
      </c>
      <c r="T129" s="52">
        <f t="shared" si="1"/>
        <v>4</v>
      </c>
      <c r="U129" s="53">
        <f t="shared" si="2"/>
        <v>4</v>
      </c>
      <c r="V129" s="9"/>
    </row>
    <row r="130" spans="1:22" ht="12.75" customHeight="1">
      <c r="A130" s="7"/>
      <c r="B130" s="1"/>
      <c r="C130" s="42"/>
      <c r="D130" s="34">
        <v>47</v>
      </c>
      <c r="E130" s="49" t="s">
        <v>322</v>
      </c>
      <c r="F130" s="85"/>
      <c r="G130" s="89" t="s">
        <v>323</v>
      </c>
      <c r="H130" s="49" t="s">
        <v>324</v>
      </c>
      <c r="I130" s="83" t="s">
        <v>325</v>
      </c>
      <c r="J130" s="80"/>
      <c r="K130" s="80"/>
      <c r="L130" s="77"/>
      <c r="M130" s="85"/>
      <c r="N130" s="34" t="s">
        <v>26</v>
      </c>
      <c r="O130" s="34">
        <v>7</v>
      </c>
      <c r="P130" s="34">
        <v>2</v>
      </c>
      <c r="Q130" s="51" t="s">
        <v>326</v>
      </c>
      <c r="R130" s="51" t="s">
        <v>327</v>
      </c>
      <c r="S130" s="52" t="str">
        <f t="shared" si="0"/>
        <v>Average</v>
      </c>
      <c r="T130" s="52">
        <f t="shared" si="1"/>
        <v>4</v>
      </c>
      <c r="U130" s="53">
        <f t="shared" si="2"/>
        <v>4</v>
      </c>
      <c r="V130" s="9"/>
    </row>
    <row r="131" spans="1:22" ht="12.75" customHeight="1">
      <c r="A131" s="7"/>
      <c r="B131" s="1"/>
      <c r="C131" s="42"/>
      <c r="D131" s="34">
        <v>48</v>
      </c>
      <c r="E131" s="49" t="s">
        <v>328</v>
      </c>
      <c r="F131" s="85"/>
      <c r="G131" s="86"/>
      <c r="H131" s="49" t="s">
        <v>329</v>
      </c>
      <c r="I131" s="83" t="s">
        <v>330</v>
      </c>
      <c r="J131" s="80"/>
      <c r="K131" s="80"/>
      <c r="L131" s="77"/>
      <c r="M131" s="86"/>
      <c r="N131" s="34" t="s">
        <v>26</v>
      </c>
      <c r="O131" s="34">
        <v>9</v>
      </c>
      <c r="P131" s="34">
        <v>2</v>
      </c>
      <c r="Q131" s="51" t="s">
        <v>331</v>
      </c>
      <c r="R131" s="51" t="s">
        <v>332</v>
      </c>
      <c r="S131" s="52" t="str">
        <f t="shared" si="0"/>
        <v>Average</v>
      </c>
      <c r="T131" s="52">
        <f t="shared" si="1"/>
        <v>4</v>
      </c>
      <c r="U131" s="53">
        <f t="shared" si="2"/>
        <v>4</v>
      </c>
      <c r="V131" s="9"/>
    </row>
    <row r="132" spans="1:22" ht="12.75" customHeight="1">
      <c r="A132" s="7"/>
      <c r="B132" s="1"/>
      <c r="C132" s="42"/>
      <c r="D132" s="34">
        <v>49</v>
      </c>
      <c r="E132" s="49" t="s">
        <v>333</v>
      </c>
      <c r="F132" s="85"/>
      <c r="G132" s="89" t="s">
        <v>334</v>
      </c>
      <c r="H132" s="49" t="s">
        <v>335</v>
      </c>
      <c r="I132" s="83" t="s">
        <v>336</v>
      </c>
      <c r="J132" s="80"/>
      <c r="K132" s="80"/>
      <c r="L132" s="77"/>
      <c r="M132" s="84" t="s">
        <v>337</v>
      </c>
      <c r="N132" s="34" t="s">
        <v>26</v>
      </c>
      <c r="O132" s="34">
        <v>4</v>
      </c>
      <c r="P132" s="34">
        <v>1</v>
      </c>
      <c r="Q132" s="51" t="s">
        <v>295</v>
      </c>
      <c r="R132" s="51" t="s">
        <v>338</v>
      </c>
      <c r="S132" s="52" t="str">
        <f t="shared" si="0"/>
        <v>Low</v>
      </c>
      <c r="T132" s="52">
        <f t="shared" si="1"/>
        <v>3</v>
      </c>
      <c r="U132" s="53">
        <f t="shared" si="2"/>
        <v>3</v>
      </c>
      <c r="V132" s="9"/>
    </row>
    <row r="133" spans="1:22" ht="12.75" customHeight="1">
      <c r="A133" s="7"/>
      <c r="B133" s="1"/>
      <c r="C133" s="42"/>
      <c r="D133" s="34">
        <v>50</v>
      </c>
      <c r="E133" s="49" t="s">
        <v>339</v>
      </c>
      <c r="F133" s="85"/>
      <c r="G133" s="85"/>
      <c r="H133" s="49" t="s">
        <v>340</v>
      </c>
      <c r="I133" s="83" t="s">
        <v>341</v>
      </c>
      <c r="J133" s="80"/>
      <c r="K133" s="80"/>
      <c r="L133" s="77"/>
      <c r="M133" s="85"/>
      <c r="N133" s="34" t="s">
        <v>31</v>
      </c>
      <c r="O133" s="34">
        <v>2</v>
      </c>
      <c r="P133" s="34">
        <v>1</v>
      </c>
      <c r="Q133" s="51" t="s">
        <v>342</v>
      </c>
      <c r="R133" s="51" t="s">
        <v>343</v>
      </c>
      <c r="S133" s="52" t="str">
        <f t="shared" si="0"/>
        <v>Low</v>
      </c>
      <c r="T133" s="52">
        <f t="shared" si="1"/>
        <v>3</v>
      </c>
      <c r="U133" s="53">
        <f t="shared" si="2"/>
        <v>3</v>
      </c>
      <c r="V133" s="9"/>
    </row>
    <row r="134" spans="1:22" ht="12.75" customHeight="1">
      <c r="A134" s="7"/>
      <c r="B134" s="1"/>
      <c r="C134" s="42"/>
      <c r="D134" s="34">
        <v>51</v>
      </c>
      <c r="E134" s="49" t="s">
        <v>344</v>
      </c>
      <c r="F134" s="86"/>
      <c r="G134" s="86"/>
      <c r="H134" s="49" t="s">
        <v>345</v>
      </c>
      <c r="I134" s="83" t="s">
        <v>346</v>
      </c>
      <c r="J134" s="80"/>
      <c r="K134" s="80"/>
      <c r="L134" s="77"/>
      <c r="M134" s="85"/>
      <c r="N134" s="34" t="s">
        <v>28</v>
      </c>
      <c r="O134" s="34">
        <v>22</v>
      </c>
      <c r="P134" s="34">
        <v>3</v>
      </c>
      <c r="Q134" s="51" t="s">
        <v>347</v>
      </c>
      <c r="R134" s="51" t="s">
        <v>348</v>
      </c>
      <c r="S134" s="52" t="str">
        <f t="shared" si="0"/>
        <v>High</v>
      </c>
      <c r="T134" s="52">
        <f t="shared" si="1"/>
        <v>7</v>
      </c>
      <c r="U134" s="53">
        <f t="shared" si="2"/>
        <v>7</v>
      </c>
      <c r="V134" s="9"/>
    </row>
    <row r="135" spans="1:22" ht="12.75" customHeight="1">
      <c r="A135" s="7"/>
      <c r="B135" s="1"/>
      <c r="C135" s="42"/>
      <c r="D135" s="34">
        <v>52</v>
      </c>
      <c r="E135" s="49" t="s">
        <v>349</v>
      </c>
      <c r="F135" s="94" t="s">
        <v>350</v>
      </c>
      <c r="G135" s="84" t="s">
        <v>351</v>
      </c>
      <c r="H135" s="49" t="s">
        <v>352</v>
      </c>
      <c r="I135" s="83" t="s">
        <v>353</v>
      </c>
      <c r="J135" s="80"/>
      <c r="K135" s="80"/>
      <c r="L135" s="77"/>
      <c r="M135" s="85"/>
      <c r="N135" s="34" t="s">
        <v>31</v>
      </c>
      <c r="O135" s="34">
        <v>8</v>
      </c>
      <c r="P135" s="34">
        <v>2</v>
      </c>
      <c r="Q135" s="51" t="s">
        <v>354</v>
      </c>
      <c r="R135" s="51" t="s">
        <v>355</v>
      </c>
      <c r="S135" s="52" t="str">
        <f t="shared" si="0"/>
        <v>Average</v>
      </c>
      <c r="T135" s="52">
        <f t="shared" si="1"/>
        <v>4</v>
      </c>
      <c r="U135" s="53">
        <f t="shared" si="2"/>
        <v>4</v>
      </c>
      <c r="V135" s="9"/>
    </row>
    <row r="136" spans="1:22" ht="12.75" customHeight="1">
      <c r="A136" s="7"/>
      <c r="B136" s="1"/>
      <c r="C136" s="42"/>
      <c r="D136" s="34">
        <v>53</v>
      </c>
      <c r="E136" s="49" t="s">
        <v>356</v>
      </c>
      <c r="F136" s="85"/>
      <c r="G136" s="85"/>
      <c r="H136" s="49" t="s">
        <v>357</v>
      </c>
      <c r="I136" s="83" t="s">
        <v>358</v>
      </c>
      <c r="J136" s="80"/>
      <c r="K136" s="80"/>
      <c r="L136" s="77"/>
      <c r="M136" s="85"/>
      <c r="N136" s="34" t="s">
        <v>26</v>
      </c>
      <c r="O136" s="34">
        <v>7</v>
      </c>
      <c r="P136" s="34">
        <v>1</v>
      </c>
      <c r="Q136" s="51" t="s">
        <v>359</v>
      </c>
      <c r="R136" s="51" t="s">
        <v>360</v>
      </c>
      <c r="S136" s="52" t="str">
        <f t="shared" si="0"/>
        <v>Low</v>
      </c>
      <c r="T136" s="52">
        <f t="shared" si="1"/>
        <v>3</v>
      </c>
      <c r="U136" s="53">
        <f t="shared" si="2"/>
        <v>3</v>
      </c>
      <c r="V136" s="9"/>
    </row>
    <row r="137" spans="1:22" ht="12.75" customHeight="1">
      <c r="A137" s="7"/>
      <c r="B137" s="1"/>
      <c r="C137" s="42"/>
      <c r="D137" s="34">
        <v>54</v>
      </c>
      <c r="E137" s="49" t="s">
        <v>361</v>
      </c>
      <c r="F137" s="85"/>
      <c r="G137" s="85"/>
      <c r="H137" s="49" t="s">
        <v>362</v>
      </c>
      <c r="I137" s="83" t="s">
        <v>363</v>
      </c>
      <c r="J137" s="80"/>
      <c r="K137" s="80"/>
      <c r="L137" s="77"/>
      <c r="M137" s="85"/>
      <c r="N137" s="34" t="s">
        <v>26</v>
      </c>
      <c r="O137" s="34">
        <v>16</v>
      </c>
      <c r="P137" s="34">
        <v>3</v>
      </c>
      <c r="Q137" s="51" t="s">
        <v>364</v>
      </c>
      <c r="R137" s="51" t="s">
        <v>365</v>
      </c>
      <c r="S137" s="52" t="str">
        <f t="shared" si="0"/>
        <v>High</v>
      </c>
      <c r="T137" s="52">
        <f t="shared" si="1"/>
        <v>6</v>
      </c>
      <c r="U137" s="53">
        <f t="shared" si="2"/>
        <v>6</v>
      </c>
      <c r="V137" s="9"/>
    </row>
    <row r="138" spans="1:22" ht="12.75" customHeight="1">
      <c r="A138" s="7"/>
      <c r="B138" s="1"/>
      <c r="C138" s="42"/>
      <c r="D138" s="34">
        <v>55</v>
      </c>
      <c r="E138" s="49" t="s">
        <v>366</v>
      </c>
      <c r="F138" s="85"/>
      <c r="G138" s="86"/>
      <c r="H138" s="49" t="s">
        <v>367</v>
      </c>
      <c r="I138" s="83" t="s">
        <v>368</v>
      </c>
      <c r="J138" s="80"/>
      <c r="K138" s="80"/>
      <c r="L138" s="77"/>
      <c r="M138" s="85"/>
      <c r="N138" s="34" t="s">
        <v>26</v>
      </c>
      <c r="O138" s="34">
        <v>3</v>
      </c>
      <c r="P138" s="34">
        <v>2</v>
      </c>
      <c r="Q138" s="51" t="s">
        <v>262</v>
      </c>
      <c r="R138" s="51" t="s">
        <v>369</v>
      </c>
      <c r="S138" s="52" t="str">
        <f t="shared" si="0"/>
        <v>Low</v>
      </c>
      <c r="T138" s="52">
        <f t="shared" si="1"/>
        <v>3</v>
      </c>
      <c r="U138" s="53">
        <f t="shared" si="2"/>
        <v>3</v>
      </c>
      <c r="V138" s="9"/>
    </row>
    <row r="139" spans="1:22" ht="12.75" customHeight="1">
      <c r="A139" s="7"/>
      <c r="B139" s="1"/>
      <c r="C139" s="42"/>
      <c r="D139" s="34">
        <v>56</v>
      </c>
      <c r="E139" s="49" t="s">
        <v>370</v>
      </c>
      <c r="F139" s="85"/>
      <c r="G139" s="84" t="s">
        <v>371</v>
      </c>
      <c r="H139" s="49" t="s">
        <v>372</v>
      </c>
      <c r="I139" s="83" t="s">
        <v>373</v>
      </c>
      <c r="J139" s="80"/>
      <c r="K139" s="80"/>
      <c r="L139" s="77"/>
      <c r="M139" s="85"/>
      <c r="N139" s="34" t="s">
        <v>31</v>
      </c>
      <c r="O139" s="34">
        <v>8</v>
      </c>
      <c r="P139" s="34">
        <v>2</v>
      </c>
      <c r="Q139" s="51" t="s">
        <v>262</v>
      </c>
      <c r="R139" s="51" t="s">
        <v>374</v>
      </c>
      <c r="S139" s="52" t="str">
        <f t="shared" si="0"/>
        <v>Average</v>
      </c>
      <c r="T139" s="52">
        <f t="shared" si="1"/>
        <v>4</v>
      </c>
      <c r="U139" s="53">
        <f t="shared" si="2"/>
        <v>4</v>
      </c>
      <c r="V139" s="9"/>
    </row>
    <row r="140" spans="1:22" ht="12.75" customHeight="1">
      <c r="A140" s="7"/>
      <c r="B140" s="1"/>
      <c r="C140" s="42"/>
      <c r="D140" s="34">
        <v>57</v>
      </c>
      <c r="E140" s="49" t="s">
        <v>375</v>
      </c>
      <c r="F140" s="85"/>
      <c r="G140" s="85"/>
      <c r="H140" s="49" t="s">
        <v>376</v>
      </c>
      <c r="I140" s="83" t="s">
        <v>377</v>
      </c>
      <c r="J140" s="80"/>
      <c r="K140" s="80"/>
      <c r="L140" s="77"/>
      <c r="M140" s="85"/>
      <c r="N140" s="34" t="s">
        <v>26</v>
      </c>
      <c r="O140" s="34">
        <v>8</v>
      </c>
      <c r="P140" s="34">
        <v>1</v>
      </c>
      <c r="Q140" s="51" t="s">
        <v>378</v>
      </c>
      <c r="R140" s="51" t="s">
        <v>379</v>
      </c>
      <c r="S140" s="52" t="str">
        <f t="shared" si="0"/>
        <v>Low</v>
      </c>
      <c r="T140" s="52">
        <f t="shared" si="1"/>
        <v>3</v>
      </c>
      <c r="U140" s="53">
        <f t="shared" si="2"/>
        <v>3</v>
      </c>
      <c r="V140" s="9"/>
    </row>
    <row r="141" spans="1:22" ht="12.75" customHeight="1">
      <c r="A141" s="7"/>
      <c r="B141" s="1"/>
      <c r="C141" s="42"/>
      <c r="D141" s="34">
        <v>58</v>
      </c>
      <c r="E141" s="49" t="s">
        <v>380</v>
      </c>
      <c r="F141" s="86"/>
      <c r="G141" s="86"/>
      <c r="H141" s="49" t="s">
        <v>381</v>
      </c>
      <c r="I141" s="83" t="s">
        <v>382</v>
      </c>
      <c r="J141" s="80"/>
      <c r="K141" s="80"/>
      <c r="L141" s="77"/>
      <c r="M141" s="86"/>
      <c r="N141" s="34" t="s">
        <v>26</v>
      </c>
      <c r="O141" s="34">
        <v>16</v>
      </c>
      <c r="P141" s="34">
        <v>3</v>
      </c>
      <c r="Q141" s="51" t="s">
        <v>383</v>
      </c>
      <c r="R141" s="51" t="s">
        <v>384</v>
      </c>
      <c r="S141" s="52" t="str">
        <f t="shared" si="0"/>
        <v>High</v>
      </c>
      <c r="T141" s="52">
        <f t="shared" si="1"/>
        <v>6</v>
      </c>
      <c r="U141" s="53">
        <f t="shared" si="2"/>
        <v>6</v>
      </c>
      <c r="V141" s="9"/>
    </row>
    <row r="142" spans="1:22" ht="12.75" customHeight="1">
      <c r="A142" s="7"/>
      <c r="B142" s="1"/>
      <c r="C142" s="42"/>
      <c r="D142" s="34">
        <v>59</v>
      </c>
      <c r="E142" s="49" t="s">
        <v>385</v>
      </c>
      <c r="F142" s="94" t="s">
        <v>386</v>
      </c>
      <c r="G142" s="84" t="s">
        <v>387</v>
      </c>
      <c r="H142" s="49" t="s">
        <v>388</v>
      </c>
      <c r="I142" s="83" t="s">
        <v>389</v>
      </c>
      <c r="J142" s="80"/>
      <c r="K142" s="80"/>
      <c r="L142" s="77"/>
      <c r="M142" s="84" t="s">
        <v>106</v>
      </c>
      <c r="N142" s="34" t="s">
        <v>31</v>
      </c>
      <c r="O142" s="34">
        <v>3</v>
      </c>
      <c r="P142" s="34">
        <v>1</v>
      </c>
      <c r="Q142" s="51" t="s">
        <v>390</v>
      </c>
      <c r="R142" s="51" t="s">
        <v>391</v>
      </c>
      <c r="S142" s="52" t="str">
        <f t="shared" si="0"/>
        <v>Low</v>
      </c>
      <c r="T142" s="52">
        <f t="shared" si="1"/>
        <v>3</v>
      </c>
      <c r="U142" s="53">
        <f t="shared" si="2"/>
        <v>3</v>
      </c>
      <c r="V142" s="9"/>
    </row>
    <row r="143" spans="1:22" ht="12.75" customHeight="1">
      <c r="A143" s="7"/>
      <c r="B143" s="1"/>
      <c r="C143" s="42"/>
      <c r="D143" s="34">
        <v>60</v>
      </c>
      <c r="E143" s="49" t="s">
        <v>392</v>
      </c>
      <c r="F143" s="85"/>
      <c r="G143" s="85"/>
      <c r="H143" s="49" t="s">
        <v>393</v>
      </c>
      <c r="I143" s="83" t="s">
        <v>394</v>
      </c>
      <c r="J143" s="80"/>
      <c r="K143" s="80"/>
      <c r="L143" s="77"/>
      <c r="M143" s="85"/>
      <c r="N143" s="34" t="s">
        <v>28</v>
      </c>
      <c r="O143" s="34">
        <v>5</v>
      </c>
      <c r="P143" s="34">
        <v>2</v>
      </c>
      <c r="Q143" s="51" t="s">
        <v>395</v>
      </c>
      <c r="R143" s="51" t="s">
        <v>396</v>
      </c>
      <c r="S143" s="52" t="str">
        <f t="shared" si="0"/>
        <v>Low</v>
      </c>
      <c r="T143" s="52">
        <f t="shared" si="1"/>
        <v>4</v>
      </c>
      <c r="U143" s="53">
        <f t="shared" si="2"/>
        <v>4</v>
      </c>
      <c r="V143" s="9"/>
    </row>
    <row r="144" spans="1:22" ht="12.75" customHeight="1">
      <c r="A144" s="7"/>
      <c r="B144" s="1"/>
      <c r="C144" s="42"/>
      <c r="D144" s="34">
        <v>61</v>
      </c>
      <c r="E144" s="49" t="s">
        <v>397</v>
      </c>
      <c r="F144" s="85"/>
      <c r="G144" s="85"/>
      <c r="H144" s="49" t="s">
        <v>398</v>
      </c>
      <c r="I144" s="83" t="s">
        <v>399</v>
      </c>
      <c r="J144" s="80"/>
      <c r="K144" s="80"/>
      <c r="L144" s="77"/>
      <c r="M144" s="85"/>
      <c r="N144" s="34" t="s">
        <v>26</v>
      </c>
      <c r="O144" s="34">
        <v>12</v>
      </c>
      <c r="P144" s="34">
        <v>4</v>
      </c>
      <c r="Q144" s="51" t="s">
        <v>400</v>
      </c>
      <c r="R144" s="51" t="s">
        <v>401</v>
      </c>
      <c r="S144" s="52" t="str">
        <f t="shared" si="0"/>
        <v>High</v>
      </c>
      <c r="T144" s="52">
        <f t="shared" si="1"/>
        <v>6</v>
      </c>
      <c r="U144" s="53">
        <f t="shared" si="2"/>
        <v>6</v>
      </c>
      <c r="V144" s="9"/>
    </row>
    <row r="145" spans="1:22" ht="12.75" customHeight="1">
      <c r="A145" s="7"/>
      <c r="B145" s="1"/>
      <c r="C145" s="42"/>
      <c r="D145" s="34">
        <v>62</v>
      </c>
      <c r="E145" s="49" t="s">
        <v>402</v>
      </c>
      <c r="F145" s="86"/>
      <c r="G145" s="86"/>
      <c r="H145" s="49" t="s">
        <v>403</v>
      </c>
      <c r="I145" s="83" t="s">
        <v>404</v>
      </c>
      <c r="J145" s="80"/>
      <c r="K145" s="80"/>
      <c r="L145" s="77"/>
      <c r="M145" s="85"/>
      <c r="N145" s="34" t="s">
        <v>31</v>
      </c>
      <c r="O145" s="34">
        <v>6</v>
      </c>
      <c r="P145" s="34">
        <v>2</v>
      </c>
      <c r="Q145" s="51" t="s">
        <v>188</v>
      </c>
      <c r="R145" s="51" t="s">
        <v>405</v>
      </c>
      <c r="S145" s="52" t="str">
        <f t="shared" si="0"/>
        <v>Average</v>
      </c>
      <c r="T145" s="52">
        <f t="shared" si="1"/>
        <v>4</v>
      </c>
      <c r="U145" s="53">
        <f t="shared" si="2"/>
        <v>4</v>
      </c>
      <c r="V145" s="9"/>
    </row>
    <row r="146" spans="1:22" ht="12.75" customHeight="1">
      <c r="A146" s="7"/>
      <c r="B146" s="1"/>
      <c r="C146" s="42"/>
      <c r="D146" s="34">
        <v>63</v>
      </c>
      <c r="E146" s="49" t="s">
        <v>406</v>
      </c>
      <c r="F146" s="94" t="s">
        <v>407</v>
      </c>
      <c r="G146" s="84" t="s">
        <v>408</v>
      </c>
      <c r="H146" s="49" t="s">
        <v>409</v>
      </c>
      <c r="I146" s="83" t="s">
        <v>410</v>
      </c>
      <c r="J146" s="80"/>
      <c r="K146" s="80"/>
      <c r="L146" s="77"/>
      <c r="M146" s="85"/>
      <c r="N146" s="54" t="s">
        <v>31</v>
      </c>
      <c r="O146" s="54">
        <v>3</v>
      </c>
      <c r="P146" s="54">
        <v>2</v>
      </c>
      <c r="Q146" s="55" t="s">
        <v>411</v>
      </c>
      <c r="R146" s="51" t="s">
        <v>412</v>
      </c>
      <c r="S146" s="52" t="str">
        <f t="shared" si="0"/>
        <v>Low</v>
      </c>
      <c r="T146" s="52">
        <f t="shared" si="1"/>
        <v>3</v>
      </c>
      <c r="U146" s="53">
        <f t="shared" si="2"/>
        <v>3</v>
      </c>
      <c r="V146" s="9"/>
    </row>
    <row r="147" spans="1:22" ht="12.75" customHeight="1">
      <c r="A147" s="7"/>
      <c r="B147" s="1"/>
      <c r="C147" s="42"/>
      <c r="D147" s="34">
        <v>64</v>
      </c>
      <c r="E147" s="49" t="s">
        <v>413</v>
      </c>
      <c r="F147" s="85"/>
      <c r="G147" s="85"/>
      <c r="H147" s="49" t="s">
        <v>414</v>
      </c>
      <c r="I147" s="83" t="s">
        <v>415</v>
      </c>
      <c r="J147" s="80"/>
      <c r="K147" s="80"/>
      <c r="L147" s="77"/>
      <c r="M147" s="85"/>
      <c r="N147" s="54" t="s">
        <v>31</v>
      </c>
      <c r="O147" s="54">
        <v>5</v>
      </c>
      <c r="P147" s="54">
        <v>2</v>
      </c>
      <c r="Q147" s="55" t="s">
        <v>416</v>
      </c>
      <c r="R147" s="51" t="s">
        <v>417</v>
      </c>
      <c r="S147" s="52" t="str">
        <f t="shared" si="0"/>
        <v>Low</v>
      </c>
      <c r="T147" s="52">
        <f t="shared" si="1"/>
        <v>3</v>
      </c>
      <c r="U147" s="53">
        <f t="shared" si="2"/>
        <v>3</v>
      </c>
      <c r="V147" s="9"/>
    </row>
    <row r="148" spans="1:22" ht="12.75" customHeight="1">
      <c r="A148" s="7"/>
      <c r="B148" s="1"/>
      <c r="C148" s="42"/>
      <c r="D148" s="34">
        <v>65</v>
      </c>
      <c r="E148" s="49" t="s">
        <v>418</v>
      </c>
      <c r="F148" s="85"/>
      <c r="G148" s="85"/>
      <c r="H148" s="49" t="s">
        <v>419</v>
      </c>
      <c r="I148" s="83" t="s">
        <v>420</v>
      </c>
      <c r="J148" s="80"/>
      <c r="K148" s="80"/>
      <c r="L148" s="77"/>
      <c r="M148" s="85"/>
      <c r="N148" s="54" t="s">
        <v>28</v>
      </c>
      <c r="O148" s="54">
        <v>8</v>
      </c>
      <c r="P148" s="54">
        <v>3</v>
      </c>
      <c r="Q148" s="55" t="s">
        <v>421</v>
      </c>
      <c r="R148" s="51" t="s">
        <v>422</v>
      </c>
      <c r="S148" s="52" t="str">
        <f t="shared" si="0"/>
        <v>Average</v>
      </c>
      <c r="T148" s="52">
        <f t="shared" si="1"/>
        <v>5</v>
      </c>
      <c r="U148" s="53">
        <f t="shared" si="2"/>
        <v>5</v>
      </c>
      <c r="V148" s="9"/>
    </row>
    <row r="149" spans="1:22" ht="12.75" customHeight="1">
      <c r="A149" s="7"/>
      <c r="B149" s="1"/>
      <c r="C149" s="42"/>
      <c r="D149" s="34">
        <v>66</v>
      </c>
      <c r="E149" s="49" t="s">
        <v>423</v>
      </c>
      <c r="F149" s="85"/>
      <c r="G149" s="85"/>
      <c r="H149" s="49" t="s">
        <v>424</v>
      </c>
      <c r="I149" s="83" t="s">
        <v>425</v>
      </c>
      <c r="J149" s="80"/>
      <c r="K149" s="80"/>
      <c r="L149" s="77"/>
      <c r="M149" s="85"/>
      <c r="N149" s="54" t="s">
        <v>31</v>
      </c>
      <c r="O149" s="54">
        <v>5</v>
      </c>
      <c r="P149" s="54">
        <v>2</v>
      </c>
      <c r="Q149" s="55" t="s">
        <v>421</v>
      </c>
      <c r="R149" s="51" t="s">
        <v>426</v>
      </c>
      <c r="S149" s="52" t="str">
        <f t="shared" si="0"/>
        <v>Low</v>
      </c>
      <c r="T149" s="52">
        <f t="shared" si="1"/>
        <v>3</v>
      </c>
      <c r="U149" s="53">
        <f t="shared" si="2"/>
        <v>3</v>
      </c>
      <c r="V149" s="9"/>
    </row>
    <row r="150" spans="1:22" ht="12.75" customHeight="1">
      <c r="A150" s="7"/>
      <c r="B150" s="1"/>
      <c r="C150" s="42"/>
      <c r="D150" s="34">
        <v>67</v>
      </c>
      <c r="E150" s="49" t="s">
        <v>427</v>
      </c>
      <c r="F150" s="85"/>
      <c r="G150" s="86"/>
      <c r="H150" s="49" t="s">
        <v>428</v>
      </c>
      <c r="I150" s="83" t="s">
        <v>429</v>
      </c>
      <c r="J150" s="80"/>
      <c r="K150" s="80"/>
      <c r="L150" s="77"/>
      <c r="M150" s="86"/>
      <c r="N150" s="54" t="s">
        <v>28</v>
      </c>
      <c r="O150" s="54">
        <v>6</v>
      </c>
      <c r="P150" s="54">
        <v>2</v>
      </c>
      <c r="Q150" s="55" t="s">
        <v>430</v>
      </c>
      <c r="R150" s="51" t="s">
        <v>431</v>
      </c>
      <c r="S150" s="52" t="str">
        <f t="shared" si="0"/>
        <v>Average</v>
      </c>
      <c r="T150" s="52">
        <f t="shared" si="1"/>
        <v>5</v>
      </c>
      <c r="U150" s="53">
        <f t="shared" si="2"/>
        <v>5</v>
      </c>
      <c r="V150" s="9"/>
    </row>
    <row r="151" spans="1:22" ht="12.75" customHeight="1">
      <c r="A151" s="7"/>
      <c r="B151" s="1"/>
      <c r="C151" s="42"/>
      <c r="D151" s="34">
        <v>68</v>
      </c>
      <c r="E151" s="49" t="s">
        <v>432</v>
      </c>
      <c r="F151" s="85"/>
      <c r="G151" s="84" t="s">
        <v>433</v>
      </c>
      <c r="H151" s="49" t="s">
        <v>434</v>
      </c>
      <c r="I151" s="83" t="s">
        <v>435</v>
      </c>
      <c r="J151" s="80"/>
      <c r="K151" s="80"/>
      <c r="L151" s="77"/>
      <c r="M151" s="84" t="s">
        <v>436</v>
      </c>
      <c r="N151" s="54" t="s">
        <v>26</v>
      </c>
      <c r="O151" s="54">
        <v>5</v>
      </c>
      <c r="P151" s="54">
        <v>4</v>
      </c>
      <c r="Q151" s="51" t="s">
        <v>437</v>
      </c>
      <c r="R151" s="51" t="s">
        <v>438</v>
      </c>
      <c r="S151" s="52" t="str">
        <f t="shared" si="0"/>
        <v>High</v>
      </c>
      <c r="T151" s="52">
        <f t="shared" si="1"/>
        <v>6</v>
      </c>
      <c r="U151" s="53">
        <f t="shared" si="2"/>
        <v>6</v>
      </c>
      <c r="V151" s="9"/>
    </row>
    <row r="152" spans="1:22" ht="12.75" customHeight="1">
      <c r="A152" s="7"/>
      <c r="B152" s="1"/>
      <c r="C152" s="42"/>
      <c r="D152" s="34">
        <v>69</v>
      </c>
      <c r="E152" s="49" t="s">
        <v>439</v>
      </c>
      <c r="F152" s="85"/>
      <c r="G152" s="85"/>
      <c r="H152" s="49" t="s">
        <v>440</v>
      </c>
      <c r="I152" s="83" t="s">
        <v>441</v>
      </c>
      <c r="J152" s="80"/>
      <c r="K152" s="80"/>
      <c r="L152" s="77"/>
      <c r="M152" s="85"/>
      <c r="N152" s="54" t="s">
        <v>26</v>
      </c>
      <c r="O152" s="54">
        <v>4</v>
      </c>
      <c r="P152" s="54">
        <v>2</v>
      </c>
      <c r="Q152" s="51" t="s">
        <v>442</v>
      </c>
      <c r="R152" s="51" t="s">
        <v>443</v>
      </c>
      <c r="S152" s="52" t="str">
        <f t="shared" si="0"/>
        <v>Low</v>
      </c>
      <c r="T152" s="52">
        <f t="shared" si="1"/>
        <v>3</v>
      </c>
      <c r="U152" s="53">
        <f t="shared" si="2"/>
        <v>3</v>
      </c>
      <c r="V152" s="9"/>
    </row>
    <row r="153" spans="1:22" ht="12.75" customHeight="1">
      <c r="A153" s="7"/>
      <c r="B153" s="1"/>
      <c r="C153" s="42"/>
      <c r="D153" s="34">
        <v>70</v>
      </c>
      <c r="E153" s="49" t="s">
        <v>444</v>
      </c>
      <c r="F153" s="85"/>
      <c r="G153" s="85"/>
      <c r="H153" s="49" t="s">
        <v>445</v>
      </c>
      <c r="I153" s="83" t="s">
        <v>446</v>
      </c>
      <c r="J153" s="80"/>
      <c r="K153" s="80"/>
      <c r="L153" s="77"/>
      <c r="M153" s="85"/>
      <c r="N153" s="54" t="s">
        <v>26</v>
      </c>
      <c r="O153" s="54">
        <v>8</v>
      </c>
      <c r="P153" s="54">
        <v>3</v>
      </c>
      <c r="Q153" s="51" t="s">
        <v>447</v>
      </c>
      <c r="R153" s="51" t="s">
        <v>448</v>
      </c>
      <c r="S153" s="52" t="str">
        <f t="shared" si="0"/>
        <v>High</v>
      </c>
      <c r="T153" s="52">
        <f t="shared" si="1"/>
        <v>6</v>
      </c>
      <c r="U153" s="53">
        <f t="shared" si="2"/>
        <v>6</v>
      </c>
      <c r="V153" s="9"/>
    </row>
    <row r="154" spans="1:22" ht="12.75" customHeight="1">
      <c r="A154" s="7"/>
      <c r="B154" s="1"/>
      <c r="C154" s="42"/>
      <c r="D154" s="34">
        <v>71</v>
      </c>
      <c r="E154" s="49" t="s">
        <v>449</v>
      </c>
      <c r="F154" s="86"/>
      <c r="G154" s="86"/>
      <c r="H154" s="49" t="s">
        <v>450</v>
      </c>
      <c r="I154" s="83" t="s">
        <v>451</v>
      </c>
      <c r="J154" s="80"/>
      <c r="K154" s="80"/>
      <c r="L154" s="77"/>
      <c r="M154" s="85"/>
      <c r="N154" s="54" t="s">
        <v>28</v>
      </c>
      <c r="O154" s="54">
        <v>3</v>
      </c>
      <c r="P154" s="54">
        <v>2</v>
      </c>
      <c r="Q154" s="51" t="s">
        <v>452</v>
      </c>
      <c r="R154" s="51" t="s">
        <v>453</v>
      </c>
      <c r="S154" s="52" t="str">
        <f t="shared" si="0"/>
        <v>Low</v>
      </c>
      <c r="T154" s="52">
        <f t="shared" si="1"/>
        <v>4</v>
      </c>
      <c r="U154" s="53">
        <f t="shared" si="2"/>
        <v>4</v>
      </c>
      <c r="V154" s="9"/>
    </row>
    <row r="155" spans="1:22" ht="12.75" customHeight="1">
      <c r="A155" s="7"/>
      <c r="B155" s="1"/>
      <c r="C155" s="42"/>
      <c r="D155" s="34">
        <v>72</v>
      </c>
      <c r="E155" s="49" t="s">
        <v>454</v>
      </c>
      <c r="F155" s="94" t="s">
        <v>455</v>
      </c>
      <c r="G155" s="84" t="s">
        <v>455</v>
      </c>
      <c r="H155" s="49" t="s">
        <v>456</v>
      </c>
      <c r="I155" s="83" t="s">
        <v>457</v>
      </c>
      <c r="J155" s="80"/>
      <c r="K155" s="80"/>
      <c r="L155" s="77"/>
      <c r="M155" s="85"/>
      <c r="N155" s="54" t="s">
        <v>26</v>
      </c>
      <c r="O155" s="54">
        <v>6</v>
      </c>
      <c r="P155" s="54">
        <v>3</v>
      </c>
      <c r="Q155" s="51" t="s">
        <v>458</v>
      </c>
      <c r="R155" s="51" t="s">
        <v>459</v>
      </c>
      <c r="S155" s="52" t="str">
        <f t="shared" si="0"/>
        <v>High</v>
      </c>
      <c r="T155" s="52">
        <f t="shared" si="1"/>
        <v>6</v>
      </c>
      <c r="U155" s="53">
        <f t="shared" si="2"/>
        <v>6</v>
      </c>
      <c r="V155" s="9"/>
    </row>
    <row r="156" spans="1:22" ht="12.75" customHeight="1">
      <c r="A156" s="7"/>
      <c r="B156" s="1"/>
      <c r="C156" s="42"/>
      <c r="D156" s="34">
        <v>73</v>
      </c>
      <c r="E156" s="49" t="s">
        <v>460</v>
      </c>
      <c r="F156" s="85"/>
      <c r="G156" s="85"/>
      <c r="H156" s="49" t="s">
        <v>461</v>
      </c>
      <c r="I156" s="83" t="s">
        <v>462</v>
      </c>
      <c r="J156" s="80"/>
      <c r="K156" s="80"/>
      <c r="L156" s="77"/>
      <c r="M156" s="85"/>
      <c r="N156" s="54" t="s">
        <v>26</v>
      </c>
      <c r="O156" s="54">
        <v>4</v>
      </c>
      <c r="P156" s="54">
        <v>3</v>
      </c>
      <c r="Q156" s="51" t="s">
        <v>463</v>
      </c>
      <c r="R156" s="51" t="s">
        <v>464</v>
      </c>
      <c r="S156" s="52" t="str">
        <f t="shared" si="0"/>
        <v>Average</v>
      </c>
      <c r="T156" s="52">
        <f t="shared" si="1"/>
        <v>4</v>
      </c>
      <c r="U156" s="53">
        <f t="shared" si="2"/>
        <v>4</v>
      </c>
      <c r="V156" s="9"/>
    </row>
    <row r="157" spans="1:22" ht="12.75" customHeight="1">
      <c r="A157" s="7"/>
      <c r="B157" s="1"/>
      <c r="C157" s="42"/>
      <c r="D157" s="34">
        <v>74</v>
      </c>
      <c r="E157" s="49" t="s">
        <v>465</v>
      </c>
      <c r="F157" s="85"/>
      <c r="G157" s="85"/>
      <c r="H157" s="49" t="s">
        <v>466</v>
      </c>
      <c r="I157" s="83" t="s">
        <v>467</v>
      </c>
      <c r="J157" s="80"/>
      <c r="K157" s="80"/>
      <c r="L157" s="77"/>
      <c r="M157" s="85"/>
      <c r="N157" s="54" t="s">
        <v>28</v>
      </c>
      <c r="O157" s="54">
        <v>8</v>
      </c>
      <c r="P157" s="54">
        <v>3</v>
      </c>
      <c r="Q157" s="51" t="s">
        <v>468</v>
      </c>
      <c r="R157" s="51" t="s">
        <v>469</v>
      </c>
      <c r="S157" s="52" t="str">
        <f t="shared" si="0"/>
        <v>Average</v>
      </c>
      <c r="T157" s="52">
        <f t="shared" si="1"/>
        <v>5</v>
      </c>
      <c r="U157" s="53">
        <f t="shared" si="2"/>
        <v>5</v>
      </c>
      <c r="V157" s="9"/>
    </row>
    <row r="158" spans="1:22" ht="12.75" customHeight="1">
      <c r="A158" s="7"/>
      <c r="B158" s="1"/>
      <c r="C158" s="42"/>
      <c r="D158" s="34">
        <v>75</v>
      </c>
      <c r="E158" s="49" t="s">
        <v>470</v>
      </c>
      <c r="F158" s="86"/>
      <c r="G158" s="86"/>
      <c r="H158" s="49" t="s">
        <v>471</v>
      </c>
      <c r="I158" s="83" t="s">
        <v>472</v>
      </c>
      <c r="J158" s="80"/>
      <c r="K158" s="80"/>
      <c r="L158" s="77"/>
      <c r="M158" s="86"/>
      <c r="N158" s="54" t="s">
        <v>26</v>
      </c>
      <c r="O158" s="54">
        <v>6</v>
      </c>
      <c r="P158" s="54">
        <v>3</v>
      </c>
      <c r="Q158" s="51" t="s">
        <v>473</v>
      </c>
      <c r="R158" s="51" t="s">
        <v>474</v>
      </c>
      <c r="S158" s="52" t="str">
        <f t="shared" si="0"/>
        <v>High</v>
      </c>
      <c r="T158" s="52">
        <f t="shared" si="1"/>
        <v>6</v>
      </c>
      <c r="U158" s="53">
        <f t="shared" si="2"/>
        <v>6</v>
      </c>
      <c r="V158" s="9"/>
    </row>
    <row r="159" spans="1:22" ht="12.75" customHeight="1">
      <c r="A159" s="7"/>
      <c r="B159" s="1"/>
      <c r="C159" s="42"/>
      <c r="D159" s="34">
        <v>76</v>
      </c>
      <c r="E159" s="56" t="s">
        <v>475</v>
      </c>
      <c r="F159" s="94" t="s">
        <v>476</v>
      </c>
      <c r="G159" s="84" t="s">
        <v>477</v>
      </c>
      <c r="H159" s="49" t="s">
        <v>478</v>
      </c>
      <c r="I159" s="83" t="s">
        <v>479</v>
      </c>
      <c r="J159" s="80"/>
      <c r="K159" s="80"/>
      <c r="L159" s="77"/>
      <c r="M159" s="84" t="s">
        <v>480</v>
      </c>
      <c r="N159" s="34" t="s">
        <v>31</v>
      </c>
      <c r="O159" s="34">
        <v>8</v>
      </c>
      <c r="P159" s="34">
        <v>1</v>
      </c>
      <c r="Q159" s="51" t="s">
        <v>481</v>
      </c>
      <c r="R159" s="51" t="s">
        <v>482</v>
      </c>
      <c r="S159" s="52" t="str">
        <f t="shared" si="0"/>
        <v>Low</v>
      </c>
      <c r="T159" s="52">
        <f t="shared" si="1"/>
        <v>3</v>
      </c>
      <c r="U159" s="53">
        <f t="shared" si="2"/>
        <v>3</v>
      </c>
      <c r="V159" s="9"/>
    </row>
    <row r="160" spans="1:22" ht="12.75" customHeight="1">
      <c r="A160" s="7"/>
      <c r="B160" s="1"/>
      <c r="C160" s="42"/>
      <c r="D160" s="34">
        <v>77</v>
      </c>
      <c r="E160" s="56" t="s">
        <v>483</v>
      </c>
      <c r="F160" s="85"/>
      <c r="G160" s="85"/>
      <c r="H160" s="49" t="s">
        <v>484</v>
      </c>
      <c r="I160" s="83" t="s">
        <v>485</v>
      </c>
      <c r="J160" s="80"/>
      <c r="K160" s="80"/>
      <c r="L160" s="77"/>
      <c r="M160" s="85"/>
      <c r="N160" s="34" t="s">
        <v>26</v>
      </c>
      <c r="O160" s="34">
        <v>20</v>
      </c>
      <c r="P160" s="34">
        <v>3</v>
      </c>
      <c r="Q160" s="51" t="s">
        <v>486</v>
      </c>
      <c r="R160" s="51" t="s">
        <v>487</v>
      </c>
      <c r="S160" s="52" t="str">
        <f t="shared" si="0"/>
        <v>High</v>
      </c>
      <c r="T160" s="52">
        <f t="shared" si="1"/>
        <v>6</v>
      </c>
      <c r="U160" s="53">
        <f t="shared" si="2"/>
        <v>6</v>
      </c>
      <c r="V160" s="9"/>
    </row>
    <row r="161" spans="1:22" ht="12.75" customHeight="1">
      <c r="A161" s="7"/>
      <c r="B161" s="1"/>
      <c r="C161" s="42"/>
      <c r="D161" s="34">
        <v>78</v>
      </c>
      <c r="E161" s="56" t="s">
        <v>488</v>
      </c>
      <c r="F161" s="85"/>
      <c r="G161" s="86"/>
      <c r="H161" s="49" t="s">
        <v>489</v>
      </c>
      <c r="I161" s="83" t="s">
        <v>490</v>
      </c>
      <c r="J161" s="80"/>
      <c r="K161" s="80"/>
      <c r="L161" s="77"/>
      <c r="M161" s="85"/>
      <c r="N161" s="34" t="s">
        <v>26</v>
      </c>
      <c r="O161" s="34">
        <v>6</v>
      </c>
      <c r="P161" s="34">
        <v>2</v>
      </c>
      <c r="Q161" s="51" t="s">
        <v>491</v>
      </c>
      <c r="R161" s="51" t="s">
        <v>492</v>
      </c>
      <c r="S161" s="52" t="str">
        <f t="shared" si="0"/>
        <v>Average</v>
      </c>
      <c r="T161" s="52">
        <f t="shared" si="1"/>
        <v>4</v>
      </c>
      <c r="U161" s="53">
        <f t="shared" si="2"/>
        <v>4</v>
      </c>
      <c r="V161" s="9"/>
    </row>
    <row r="162" spans="1:22" ht="12.75" customHeight="1">
      <c r="A162" s="7"/>
      <c r="B162" s="1"/>
      <c r="C162" s="42"/>
      <c r="D162" s="34">
        <v>79</v>
      </c>
      <c r="E162" s="56" t="s">
        <v>493</v>
      </c>
      <c r="F162" s="85"/>
      <c r="G162" s="84" t="s">
        <v>494</v>
      </c>
      <c r="H162" s="49" t="s">
        <v>495</v>
      </c>
      <c r="I162" s="83" t="s">
        <v>496</v>
      </c>
      <c r="J162" s="80"/>
      <c r="K162" s="80"/>
      <c r="L162" s="77"/>
      <c r="M162" s="85"/>
      <c r="N162" s="34" t="s">
        <v>31</v>
      </c>
      <c r="O162" s="34">
        <v>8</v>
      </c>
      <c r="P162" s="34">
        <v>1</v>
      </c>
      <c r="Q162" s="51" t="s">
        <v>497</v>
      </c>
      <c r="R162" s="51" t="s">
        <v>498</v>
      </c>
      <c r="S162" s="52" t="str">
        <f t="shared" si="0"/>
        <v>Low</v>
      </c>
      <c r="T162" s="52">
        <f t="shared" si="1"/>
        <v>3</v>
      </c>
      <c r="U162" s="53">
        <f t="shared" si="2"/>
        <v>3</v>
      </c>
      <c r="V162" s="9"/>
    </row>
    <row r="163" spans="1:22" ht="12.75" customHeight="1">
      <c r="A163" s="7"/>
      <c r="B163" s="1"/>
      <c r="C163" s="42"/>
      <c r="D163" s="34">
        <v>80</v>
      </c>
      <c r="E163" s="56" t="s">
        <v>499</v>
      </c>
      <c r="F163" s="85"/>
      <c r="G163" s="85"/>
      <c r="H163" s="57" t="s">
        <v>500</v>
      </c>
      <c r="I163" s="83" t="s">
        <v>501</v>
      </c>
      <c r="J163" s="80"/>
      <c r="K163" s="80"/>
      <c r="L163" s="77"/>
      <c r="M163" s="85"/>
      <c r="N163" s="34" t="s">
        <v>26</v>
      </c>
      <c r="O163" s="34">
        <v>10</v>
      </c>
      <c r="P163" s="34">
        <v>2</v>
      </c>
      <c r="Q163" s="51" t="s">
        <v>502</v>
      </c>
      <c r="R163" s="51" t="s">
        <v>503</v>
      </c>
      <c r="S163" s="52" t="str">
        <f t="shared" si="0"/>
        <v>Average</v>
      </c>
      <c r="T163" s="52">
        <f t="shared" si="1"/>
        <v>4</v>
      </c>
      <c r="U163" s="53">
        <f t="shared" si="2"/>
        <v>4</v>
      </c>
      <c r="V163" s="9"/>
    </row>
    <row r="164" spans="1:22" ht="12.75" customHeight="1">
      <c r="A164" s="7"/>
      <c r="B164" s="1"/>
      <c r="C164" s="42"/>
      <c r="D164" s="34">
        <v>81</v>
      </c>
      <c r="E164" s="56" t="s">
        <v>504</v>
      </c>
      <c r="F164" s="85"/>
      <c r="G164" s="86"/>
      <c r="H164" s="49" t="s">
        <v>505</v>
      </c>
      <c r="I164" s="83" t="s">
        <v>506</v>
      </c>
      <c r="J164" s="80"/>
      <c r="K164" s="80"/>
      <c r="L164" s="77"/>
      <c r="M164" s="85"/>
      <c r="N164" s="34" t="s">
        <v>28</v>
      </c>
      <c r="O164" s="34">
        <v>12</v>
      </c>
      <c r="P164" s="34">
        <v>3</v>
      </c>
      <c r="Q164" s="51" t="s">
        <v>507</v>
      </c>
      <c r="R164" s="51" t="s">
        <v>508</v>
      </c>
      <c r="S164" s="52" t="str">
        <f t="shared" si="0"/>
        <v>Average</v>
      </c>
      <c r="T164" s="52">
        <f t="shared" si="1"/>
        <v>5</v>
      </c>
      <c r="U164" s="53">
        <f t="shared" si="2"/>
        <v>5</v>
      </c>
      <c r="V164" s="9"/>
    </row>
    <row r="165" spans="1:22" ht="12.75" customHeight="1">
      <c r="A165" s="7"/>
      <c r="B165" s="1"/>
      <c r="C165" s="42"/>
      <c r="D165" s="34">
        <v>82</v>
      </c>
      <c r="E165" s="56" t="s">
        <v>509</v>
      </c>
      <c r="F165" s="85"/>
      <c r="G165" s="84" t="s">
        <v>510</v>
      </c>
      <c r="H165" s="58" t="s">
        <v>511</v>
      </c>
      <c r="I165" s="83" t="s">
        <v>512</v>
      </c>
      <c r="J165" s="80"/>
      <c r="K165" s="80"/>
      <c r="L165" s="77"/>
      <c r="M165" s="85"/>
      <c r="N165" s="34" t="s">
        <v>31</v>
      </c>
      <c r="O165" s="34">
        <v>10</v>
      </c>
      <c r="P165" s="34">
        <v>2</v>
      </c>
      <c r="Q165" s="51" t="s">
        <v>513</v>
      </c>
      <c r="R165" s="51" t="s">
        <v>514</v>
      </c>
      <c r="S165" s="52" t="str">
        <f t="shared" si="0"/>
        <v>Average</v>
      </c>
      <c r="T165" s="52">
        <f t="shared" si="1"/>
        <v>4</v>
      </c>
      <c r="U165" s="53">
        <f t="shared" si="2"/>
        <v>4</v>
      </c>
      <c r="V165" s="9"/>
    </row>
    <row r="166" spans="1:22" ht="12.75" customHeight="1">
      <c r="A166" s="7"/>
      <c r="B166" s="1"/>
      <c r="C166" s="42"/>
      <c r="D166" s="34">
        <v>83</v>
      </c>
      <c r="E166" s="56" t="s">
        <v>515</v>
      </c>
      <c r="F166" s="85"/>
      <c r="G166" s="85"/>
      <c r="H166" s="49" t="s">
        <v>516</v>
      </c>
      <c r="I166" s="83" t="s">
        <v>517</v>
      </c>
      <c r="J166" s="80"/>
      <c r="K166" s="80"/>
      <c r="L166" s="77"/>
      <c r="M166" s="85"/>
      <c r="N166" s="34" t="s">
        <v>26</v>
      </c>
      <c r="O166" s="34">
        <v>5</v>
      </c>
      <c r="P166" s="34">
        <v>1</v>
      </c>
      <c r="Q166" s="51" t="s">
        <v>518</v>
      </c>
      <c r="R166" s="51" t="s">
        <v>519</v>
      </c>
      <c r="S166" s="52" t="str">
        <f t="shared" si="0"/>
        <v>Low</v>
      </c>
      <c r="T166" s="52">
        <f t="shared" si="1"/>
        <v>3</v>
      </c>
      <c r="U166" s="53">
        <f t="shared" si="2"/>
        <v>3</v>
      </c>
      <c r="V166" s="9"/>
    </row>
    <row r="167" spans="1:22" ht="12.75" customHeight="1">
      <c r="A167" s="7"/>
      <c r="B167" s="1"/>
      <c r="C167" s="42"/>
      <c r="D167" s="34">
        <v>84</v>
      </c>
      <c r="E167" s="56" t="s">
        <v>520</v>
      </c>
      <c r="F167" s="85"/>
      <c r="G167" s="86"/>
      <c r="H167" s="49" t="s">
        <v>521</v>
      </c>
      <c r="I167" s="83" t="s">
        <v>522</v>
      </c>
      <c r="J167" s="80"/>
      <c r="K167" s="80"/>
      <c r="L167" s="77"/>
      <c r="M167" s="85"/>
      <c r="N167" s="34" t="s">
        <v>31</v>
      </c>
      <c r="O167" s="34">
        <v>25</v>
      </c>
      <c r="P167" s="34">
        <v>4</v>
      </c>
      <c r="Q167" s="51" t="s">
        <v>188</v>
      </c>
      <c r="R167" s="51" t="s">
        <v>523</v>
      </c>
      <c r="S167" s="52" t="str">
        <f t="shared" si="0"/>
        <v>High</v>
      </c>
      <c r="T167" s="52">
        <f t="shared" si="1"/>
        <v>6</v>
      </c>
      <c r="U167" s="53">
        <f t="shared" si="2"/>
        <v>6</v>
      </c>
      <c r="V167" s="9"/>
    </row>
    <row r="168" spans="1:22" ht="12.75" customHeight="1">
      <c r="A168" s="7"/>
      <c r="B168" s="1"/>
      <c r="C168" s="42"/>
      <c r="D168" s="34">
        <v>85</v>
      </c>
      <c r="E168" s="56" t="s">
        <v>524</v>
      </c>
      <c r="F168" s="85"/>
      <c r="G168" s="84" t="s">
        <v>525</v>
      </c>
      <c r="H168" s="49" t="s">
        <v>526</v>
      </c>
      <c r="I168" s="83" t="s">
        <v>527</v>
      </c>
      <c r="J168" s="80"/>
      <c r="K168" s="80"/>
      <c r="L168" s="77"/>
      <c r="M168" s="85"/>
      <c r="N168" s="34" t="s">
        <v>28</v>
      </c>
      <c r="O168" s="34">
        <v>15</v>
      </c>
      <c r="P168" s="34">
        <v>3</v>
      </c>
      <c r="Q168" s="51" t="s">
        <v>528</v>
      </c>
      <c r="R168" s="51" t="s">
        <v>529</v>
      </c>
      <c r="S168" s="52" t="str">
        <f t="shared" si="0"/>
        <v>Average</v>
      </c>
      <c r="T168" s="52">
        <f t="shared" si="1"/>
        <v>5</v>
      </c>
      <c r="U168" s="53">
        <f t="shared" si="2"/>
        <v>5</v>
      </c>
      <c r="V168" s="9"/>
    </row>
    <row r="169" spans="1:22" ht="12.75" customHeight="1">
      <c r="A169" s="7"/>
      <c r="B169" s="1"/>
      <c r="C169" s="42"/>
      <c r="D169" s="34">
        <v>86</v>
      </c>
      <c r="E169" s="56" t="s">
        <v>530</v>
      </c>
      <c r="F169" s="85"/>
      <c r="G169" s="85"/>
      <c r="H169" s="49" t="s">
        <v>531</v>
      </c>
      <c r="I169" s="83" t="s">
        <v>532</v>
      </c>
      <c r="J169" s="80"/>
      <c r="K169" s="80"/>
      <c r="L169" s="77"/>
      <c r="M169" s="85"/>
      <c r="N169" s="34" t="s">
        <v>26</v>
      </c>
      <c r="O169" s="34">
        <v>8</v>
      </c>
      <c r="P169" s="34">
        <v>2</v>
      </c>
      <c r="Q169" s="51" t="s">
        <v>533</v>
      </c>
      <c r="R169" s="51" t="s">
        <v>534</v>
      </c>
      <c r="S169" s="52" t="str">
        <f t="shared" si="0"/>
        <v>Average</v>
      </c>
      <c r="T169" s="52">
        <f t="shared" si="1"/>
        <v>4</v>
      </c>
      <c r="U169" s="53">
        <f t="shared" si="2"/>
        <v>4</v>
      </c>
      <c r="V169" s="9"/>
    </row>
    <row r="170" spans="1:22" ht="12.75" customHeight="1">
      <c r="A170" s="7"/>
      <c r="B170" s="1"/>
      <c r="C170" s="42"/>
      <c r="D170" s="34">
        <v>87</v>
      </c>
      <c r="E170" s="56" t="s">
        <v>535</v>
      </c>
      <c r="F170" s="85"/>
      <c r="G170" s="86"/>
      <c r="H170" s="49" t="s">
        <v>536</v>
      </c>
      <c r="I170" s="83" t="s">
        <v>537</v>
      </c>
      <c r="J170" s="80"/>
      <c r="K170" s="80"/>
      <c r="L170" s="77"/>
      <c r="M170" s="85"/>
      <c r="N170" s="34" t="s">
        <v>28</v>
      </c>
      <c r="O170" s="34">
        <v>10</v>
      </c>
      <c r="P170" s="34">
        <v>2</v>
      </c>
      <c r="Q170" s="51" t="s">
        <v>538</v>
      </c>
      <c r="R170" s="51" t="s">
        <v>539</v>
      </c>
      <c r="S170" s="52" t="str">
        <f t="shared" si="0"/>
        <v>Average</v>
      </c>
      <c r="T170" s="52">
        <f t="shared" si="1"/>
        <v>5</v>
      </c>
      <c r="U170" s="53">
        <f t="shared" si="2"/>
        <v>5</v>
      </c>
      <c r="V170" s="9"/>
    </row>
    <row r="171" spans="1:22" ht="12.75" customHeight="1">
      <c r="A171" s="7"/>
      <c r="B171" s="1"/>
      <c r="C171" s="42"/>
      <c r="D171" s="34">
        <v>88</v>
      </c>
      <c r="E171" s="56" t="s">
        <v>540</v>
      </c>
      <c r="F171" s="85"/>
      <c r="G171" s="84" t="s">
        <v>541</v>
      </c>
      <c r="H171" s="49" t="s">
        <v>542</v>
      </c>
      <c r="I171" s="83" t="s">
        <v>543</v>
      </c>
      <c r="J171" s="80"/>
      <c r="K171" s="80"/>
      <c r="L171" s="77"/>
      <c r="M171" s="85"/>
      <c r="N171" s="34" t="s">
        <v>28</v>
      </c>
      <c r="O171" s="34">
        <v>30</v>
      </c>
      <c r="P171" s="34">
        <v>5</v>
      </c>
      <c r="Q171" s="51" t="s">
        <v>497</v>
      </c>
      <c r="R171" s="51" t="s">
        <v>544</v>
      </c>
      <c r="S171" s="52" t="str">
        <f t="shared" si="0"/>
        <v>High</v>
      </c>
      <c r="T171" s="52">
        <f t="shared" si="1"/>
        <v>7</v>
      </c>
      <c r="U171" s="53">
        <f t="shared" si="2"/>
        <v>7</v>
      </c>
      <c r="V171" s="9"/>
    </row>
    <row r="172" spans="1:22" ht="12.75" customHeight="1">
      <c r="A172" s="7"/>
      <c r="B172" s="1"/>
      <c r="C172" s="42"/>
      <c r="D172" s="34">
        <v>89</v>
      </c>
      <c r="E172" s="56" t="s">
        <v>545</v>
      </c>
      <c r="F172" s="85"/>
      <c r="G172" s="85"/>
      <c r="H172" s="49" t="s">
        <v>546</v>
      </c>
      <c r="I172" s="83" t="s">
        <v>547</v>
      </c>
      <c r="J172" s="80"/>
      <c r="K172" s="80"/>
      <c r="L172" s="77"/>
      <c r="M172" s="85"/>
      <c r="N172" s="34" t="s">
        <v>31</v>
      </c>
      <c r="O172" s="34">
        <v>12</v>
      </c>
      <c r="P172" s="34">
        <v>2</v>
      </c>
      <c r="Q172" s="51" t="s">
        <v>548</v>
      </c>
      <c r="R172" s="51" t="s">
        <v>549</v>
      </c>
      <c r="S172" s="52" t="str">
        <f t="shared" si="0"/>
        <v>Average</v>
      </c>
      <c r="T172" s="52">
        <f t="shared" si="1"/>
        <v>4</v>
      </c>
      <c r="U172" s="53">
        <f t="shared" si="2"/>
        <v>4</v>
      </c>
      <c r="V172" s="9"/>
    </row>
    <row r="173" spans="1:22" ht="12.75" customHeight="1">
      <c r="A173" s="7"/>
      <c r="B173" s="1"/>
      <c r="C173" s="42"/>
      <c r="D173" s="34">
        <v>90</v>
      </c>
      <c r="E173" s="56" t="s">
        <v>550</v>
      </c>
      <c r="F173" s="85"/>
      <c r="G173" s="85"/>
      <c r="H173" s="49" t="s">
        <v>551</v>
      </c>
      <c r="I173" s="83" t="s">
        <v>552</v>
      </c>
      <c r="J173" s="80"/>
      <c r="K173" s="80"/>
      <c r="L173" s="77"/>
      <c r="M173" s="85"/>
      <c r="N173" s="34" t="s">
        <v>26</v>
      </c>
      <c r="O173" s="34">
        <v>20</v>
      </c>
      <c r="P173" s="34">
        <v>4</v>
      </c>
      <c r="Q173" s="51" t="s">
        <v>553</v>
      </c>
      <c r="R173" s="51" t="s">
        <v>554</v>
      </c>
      <c r="S173" s="52" t="str">
        <f t="shared" si="0"/>
        <v>High</v>
      </c>
      <c r="T173" s="52">
        <f t="shared" si="1"/>
        <v>6</v>
      </c>
      <c r="U173" s="53">
        <f t="shared" si="2"/>
        <v>6</v>
      </c>
      <c r="V173" s="9"/>
    </row>
    <row r="174" spans="1:22" ht="12.75" customHeight="1">
      <c r="A174" s="7"/>
      <c r="B174" s="1"/>
      <c r="C174" s="42"/>
      <c r="D174" s="34">
        <v>91</v>
      </c>
      <c r="E174" s="56" t="s">
        <v>555</v>
      </c>
      <c r="F174" s="85"/>
      <c r="G174" s="86"/>
      <c r="H174" s="49" t="s">
        <v>556</v>
      </c>
      <c r="I174" s="83" t="s">
        <v>557</v>
      </c>
      <c r="J174" s="80"/>
      <c r="K174" s="80"/>
      <c r="L174" s="77"/>
      <c r="M174" s="85"/>
      <c r="N174" s="34" t="s">
        <v>28</v>
      </c>
      <c r="O174" s="34">
        <v>25</v>
      </c>
      <c r="P174" s="34">
        <v>4</v>
      </c>
      <c r="Q174" s="51" t="s">
        <v>558</v>
      </c>
      <c r="R174" s="51" t="s">
        <v>559</v>
      </c>
      <c r="S174" s="52" t="str">
        <f t="shared" si="0"/>
        <v>High</v>
      </c>
      <c r="T174" s="52">
        <f t="shared" si="1"/>
        <v>7</v>
      </c>
      <c r="U174" s="53">
        <f t="shared" si="2"/>
        <v>7</v>
      </c>
      <c r="V174" s="9"/>
    </row>
    <row r="175" spans="1:22" ht="12.75" customHeight="1">
      <c r="A175" s="7"/>
      <c r="B175" s="1"/>
      <c r="C175" s="42"/>
      <c r="D175" s="34">
        <v>92</v>
      </c>
      <c r="E175" s="56" t="s">
        <v>560</v>
      </c>
      <c r="F175" s="85"/>
      <c r="G175" s="84" t="s">
        <v>561</v>
      </c>
      <c r="H175" s="57" t="s">
        <v>562</v>
      </c>
      <c r="I175" s="83" t="s">
        <v>563</v>
      </c>
      <c r="J175" s="80"/>
      <c r="K175" s="80"/>
      <c r="L175" s="77"/>
      <c r="M175" s="85"/>
      <c r="N175" s="50" t="s">
        <v>31</v>
      </c>
      <c r="O175" s="50">
        <v>12</v>
      </c>
      <c r="P175" s="50">
        <v>2</v>
      </c>
      <c r="Q175" s="51" t="s">
        <v>497</v>
      </c>
      <c r="R175" s="51" t="s">
        <v>564</v>
      </c>
      <c r="S175" s="52" t="str">
        <f t="shared" si="0"/>
        <v>Average</v>
      </c>
      <c r="T175" s="52">
        <f t="shared" si="1"/>
        <v>4</v>
      </c>
      <c r="U175" s="53">
        <f t="shared" si="2"/>
        <v>4</v>
      </c>
      <c r="V175" s="9"/>
    </row>
    <row r="176" spans="1:22" ht="12.75" customHeight="1">
      <c r="A176" s="7"/>
      <c r="B176" s="1"/>
      <c r="C176" s="42"/>
      <c r="D176" s="34">
        <v>93</v>
      </c>
      <c r="E176" s="56" t="s">
        <v>565</v>
      </c>
      <c r="F176" s="85"/>
      <c r="G176" s="85"/>
      <c r="H176" s="49" t="s">
        <v>566</v>
      </c>
      <c r="I176" s="83" t="s">
        <v>567</v>
      </c>
      <c r="J176" s="80"/>
      <c r="K176" s="80"/>
      <c r="L176" s="77"/>
      <c r="M176" s="85"/>
      <c r="N176" s="34" t="s">
        <v>28</v>
      </c>
      <c r="O176" s="34">
        <v>8</v>
      </c>
      <c r="P176" s="34">
        <v>1</v>
      </c>
      <c r="Q176" s="51" t="s">
        <v>568</v>
      </c>
      <c r="R176" s="51" t="s">
        <v>569</v>
      </c>
      <c r="S176" s="52" t="str">
        <f t="shared" si="0"/>
        <v>Low</v>
      </c>
      <c r="T176" s="52">
        <f t="shared" si="1"/>
        <v>4</v>
      </c>
      <c r="U176" s="53">
        <f t="shared" si="2"/>
        <v>4</v>
      </c>
      <c r="V176" s="9"/>
    </row>
    <row r="177" spans="1:22" ht="12.75" customHeight="1">
      <c r="A177" s="7"/>
      <c r="B177" s="1"/>
      <c r="C177" s="42"/>
      <c r="D177" s="34">
        <v>94</v>
      </c>
      <c r="E177" s="56" t="s">
        <v>570</v>
      </c>
      <c r="F177" s="85"/>
      <c r="G177" s="85"/>
      <c r="H177" s="49" t="s">
        <v>571</v>
      </c>
      <c r="I177" s="83" t="s">
        <v>572</v>
      </c>
      <c r="J177" s="80"/>
      <c r="K177" s="80"/>
      <c r="L177" s="77"/>
      <c r="M177" s="85"/>
      <c r="N177" s="34" t="s">
        <v>28</v>
      </c>
      <c r="O177" s="34">
        <v>10</v>
      </c>
      <c r="P177" s="34">
        <v>2</v>
      </c>
      <c r="Q177" s="51" t="s">
        <v>569</v>
      </c>
      <c r="R177" s="51" t="s">
        <v>573</v>
      </c>
      <c r="S177" s="52" t="str">
        <f t="shared" si="0"/>
        <v>Average</v>
      </c>
      <c r="T177" s="52">
        <f t="shared" si="1"/>
        <v>5</v>
      </c>
      <c r="U177" s="53">
        <f t="shared" si="2"/>
        <v>5</v>
      </c>
      <c r="V177" s="9"/>
    </row>
    <row r="178" spans="1:22" ht="12.75" customHeight="1">
      <c r="A178" s="7"/>
      <c r="B178" s="1"/>
      <c r="C178" s="42"/>
      <c r="D178" s="34">
        <v>95</v>
      </c>
      <c r="E178" s="56" t="s">
        <v>574</v>
      </c>
      <c r="F178" s="85"/>
      <c r="G178" s="85"/>
      <c r="H178" s="49" t="s">
        <v>575</v>
      </c>
      <c r="I178" s="83" t="s">
        <v>576</v>
      </c>
      <c r="J178" s="80"/>
      <c r="K178" s="80"/>
      <c r="L178" s="77"/>
      <c r="M178" s="85"/>
      <c r="N178" s="34" t="s">
        <v>28</v>
      </c>
      <c r="O178" s="34">
        <v>10</v>
      </c>
      <c r="P178" s="34">
        <v>3</v>
      </c>
      <c r="Q178" s="51" t="s">
        <v>577</v>
      </c>
      <c r="R178" s="51" t="s">
        <v>578</v>
      </c>
      <c r="S178" s="52" t="str">
        <f t="shared" si="0"/>
        <v>Average</v>
      </c>
      <c r="T178" s="52">
        <f t="shared" si="1"/>
        <v>5</v>
      </c>
      <c r="U178" s="53">
        <f t="shared" si="2"/>
        <v>5</v>
      </c>
      <c r="V178" s="9"/>
    </row>
    <row r="179" spans="1:22" ht="12.75" customHeight="1">
      <c r="A179" s="7"/>
      <c r="B179" s="1"/>
      <c r="C179" s="42"/>
      <c r="D179" s="34">
        <v>96</v>
      </c>
      <c r="E179" s="56" t="s">
        <v>579</v>
      </c>
      <c r="F179" s="85"/>
      <c r="G179" s="86"/>
      <c r="H179" s="49" t="s">
        <v>580</v>
      </c>
      <c r="I179" s="83" t="s">
        <v>581</v>
      </c>
      <c r="J179" s="80"/>
      <c r="K179" s="80"/>
      <c r="L179" s="77"/>
      <c r="M179" s="85"/>
      <c r="N179" s="34" t="s">
        <v>28</v>
      </c>
      <c r="O179" s="34">
        <v>8</v>
      </c>
      <c r="P179" s="34">
        <v>2</v>
      </c>
      <c r="Q179" s="51" t="s">
        <v>582</v>
      </c>
      <c r="R179" s="51" t="s">
        <v>583</v>
      </c>
      <c r="S179" s="52" t="str">
        <f t="shared" si="0"/>
        <v>Average</v>
      </c>
      <c r="T179" s="52">
        <f t="shared" si="1"/>
        <v>5</v>
      </c>
      <c r="U179" s="53">
        <f t="shared" si="2"/>
        <v>5</v>
      </c>
      <c r="V179" s="9"/>
    </row>
    <row r="180" spans="1:22" ht="12.75" customHeight="1">
      <c r="A180" s="7"/>
      <c r="B180" s="1"/>
      <c r="C180" s="42"/>
      <c r="D180" s="34">
        <v>97</v>
      </c>
      <c r="E180" s="56" t="s">
        <v>584</v>
      </c>
      <c r="F180" s="85"/>
      <c r="G180" s="84" t="s">
        <v>585</v>
      </c>
      <c r="H180" s="49" t="s">
        <v>586</v>
      </c>
      <c r="I180" s="83" t="s">
        <v>587</v>
      </c>
      <c r="J180" s="80"/>
      <c r="K180" s="80"/>
      <c r="L180" s="77"/>
      <c r="M180" s="85"/>
      <c r="N180" s="34" t="s">
        <v>31</v>
      </c>
      <c r="O180" s="34">
        <v>5</v>
      </c>
      <c r="P180" s="34">
        <v>1</v>
      </c>
      <c r="Q180" s="51" t="s">
        <v>497</v>
      </c>
      <c r="R180" s="51" t="s">
        <v>588</v>
      </c>
      <c r="S180" s="52" t="str">
        <f t="shared" si="0"/>
        <v>Low</v>
      </c>
      <c r="T180" s="52">
        <f t="shared" si="1"/>
        <v>3</v>
      </c>
      <c r="U180" s="53">
        <f t="shared" si="2"/>
        <v>3</v>
      </c>
      <c r="V180" s="9"/>
    </row>
    <row r="181" spans="1:22" ht="12.75" customHeight="1">
      <c r="A181" s="7"/>
      <c r="B181" s="1"/>
      <c r="C181" s="42"/>
      <c r="D181" s="34">
        <v>98</v>
      </c>
      <c r="E181" s="56" t="s">
        <v>589</v>
      </c>
      <c r="F181" s="85"/>
      <c r="G181" s="85"/>
      <c r="H181" s="49" t="s">
        <v>590</v>
      </c>
      <c r="I181" s="83" t="s">
        <v>591</v>
      </c>
      <c r="J181" s="80"/>
      <c r="K181" s="80"/>
      <c r="L181" s="77"/>
      <c r="M181" s="85"/>
      <c r="N181" s="34" t="s">
        <v>31</v>
      </c>
      <c r="O181" s="34">
        <v>8</v>
      </c>
      <c r="P181" s="34">
        <v>1</v>
      </c>
      <c r="Q181" s="51" t="s">
        <v>592</v>
      </c>
      <c r="R181" s="51" t="s">
        <v>593</v>
      </c>
      <c r="S181" s="52" t="str">
        <f t="shared" si="0"/>
        <v>Low</v>
      </c>
      <c r="T181" s="52">
        <f t="shared" si="1"/>
        <v>3</v>
      </c>
      <c r="U181" s="53">
        <f t="shared" si="2"/>
        <v>3</v>
      </c>
      <c r="V181" s="9"/>
    </row>
    <row r="182" spans="1:22" ht="12.75" customHeight="1">
      <c r="A182" s="7"/>
      <c r="B182" s="1"/>
      <c r="C182" s="42"/>
      <c r="D182" s="34">
        <v>99</v>
      </c>
      <c r="E182" s="56" t="s">
        <v>594</v>
      </c>
      <c r="F182" s="85"/>
      <c r="G182" s="86"/>
      <c r="H182" s="49" t="s">
        <v>595</v>
      </c>
      <c r="I182" s="83" t="s">
        <v>596</v>
      </c>
      <c r="J182" s="80"/>
      <c r="K182" s="80"/>
      <c r="L182" s="77"/>
      <c r="M182" s="85"/>
      <c r="N182" s="34" t="s">
        <v>31</v>
      </c>
      <c r="O182" s="34">
        <v>25</v>
      </c>
      <c r="P182" s="34">
        <v>4</v>
      </c>
      <c r="Q182" s="51" t="s">
        <v>242</v>
      </c>
      <c r="R182" s="51" t="s">
        <v>597</v>
      </c>
      <c r="S182" s="52" t="str">
        <f t="shared" si="0"/>
        <v>High</v>
      </c>
      <c r="T182" s="52">
        <f t="shared" si="1"/>
        <v>6</v>
      </c>
      <c r="U182" s="53">
        <f t="shared" si="2"/>
        <v>6</v>
      </c>
      <c r="V182" s="9"/>
    </row>
    <row r="183" spans="1:22" ht="12.75" customHeight="1">
      <c r="A183" s="7"/>
      <c r="B183" s="1"/>
      <c r="C183" s="42"/>
      <c r="D183" s="34">
        <v>100</v>
      </c>
      <c r="E183" s="56" t="s">
        <v>598</v>
      </c>
      <c r="F183" s="85"/>
      <c r="G183" s="84" t="s">
        <v>599</v>
      </c>
      <c r="H183" s="49" t="s">
        <v>600</v>
      </c>
      <c r="I183" s="83" t="s">
        <v>601</v>
      </c>
      <c r="J183" s="80"/>
      <c r="K183" s="80"/>
      <c r="L183" s="77"/>
      <c r="M183" s="85"/>
      <c r="N183" s="34" t="s">
        <v>26</v>
      </c>
      <c r="O183" s="34">
        <v>4</v>
      </c>
      <c r="P183" s="34">
        <v>1</v>
      </c>
      <c r="Q183" s="51" t="s">
        <v>602</v>
      </c>
      <c r="R183" s="51" t="s">
        <v>603</v>
      </c>
      <c r="S183" s="52" t="str">
        <f t="shared" si="0"/>
        <v>Low</v>
      </c>
      <c r="T183" s="52">
        <f t="shared" si="1"/>
        <v>3</v>
      </c>
      <c r="U183" s="53">
        <f t="shared" si="2"/>
        <v>3</v>
      </c>
      <c r="V183" s="9"/>
    </row>
    <row r="184" spans="1:22" ht="12.75" customHeight="1">
      <c r="A184" s="7"/>
      <c r="B184" s="1"/>
      <c r="C184" s="42"/>
      <c r="D184" s="34">
        <v>101</v>
      </c>
      <c r="E184" s="56" t="s">
        <v>604</v>
      </c>
      <c r="F184" s="85"/>
      <c r="G184" s="85"/>
      <c r="H184" s="49" t="s">
        <v>605</v>
      </c>
      <c r="I184" s="83" t="s">
        <v>606</v>
      </c>
      <c r="J184" s="80"/>
      <c r="K184" s="80"/>
      <c r="L184" s="77"/>
      <c r="M184" s="85"/>
      <c r="N184" s="34" t="s">
        <v>26</v>
      </c>
      <c r="O184" s="34">
        <v>3</v>
      </c>
      <c r="P184" s="34">
        <v>1</v>
      </c>
      <c r="Q184" s="51" t="s">
        <v>607</v>
      </c>
      <c r="R184" s="51" t="s">
        <v>608</v>
      </c>
      <c r="S184" s="52" t="str">
        <f t="shared" si="0"/>
        <v>Low</v>
      </c>
      <c r="T184" s="52">
        <f t="shared" si="1"/>
        <v>3</v>
      </c>
      <c r="U184" s="53">
        <f t="shared" si="2"/>
        <v>3</v>
      </c>
      <c r="V184" s="9"/>
    </row>
    <row r="185" spans="1:22" ht="12.75" customHeight="1">
      <c r="A185" s="7"/>
      <c r="B185" s="1"/>
      <c r="C185" s="42"/>
      <c r="D185" s="34">
        <v>102</v>
      </c>
      <c r="E185" s="56" t="s">
        <v>609</v>
      </c>
      <c r="F185" s="85"/>
      <c r="G185" s="85"/>
      <c r="H185" s="49" t="s">
        <v>610</v>
      </c>
      <c r="I185" s="83" t="s">
        <v>611</v>
      </c>
      <c r="J185" s="80"/>
      <c r="K185" s="80"/>
      <c r="L185" s="77"/>
      <c r="M185" s="85"/>
      <c r="N185" s="34" t="s">
        <v>26</v>
      </c>
      <c r="O185" s="34">
        <v>7</v>
      </c>
      <c r="P185" s="34">
        <v>1</v>
      </c>
      <c r="Q185" s="51" t="s">
        <v>612</v>
      </c>
      <c r="R185" s="51" t="s">
        <v>613</v>
      </c>
      <c r="S185" s="52" t="str">
        <f t="shared" si="0"/>
        <v>Low</v>
      </c>
      <c r="T185" s="52">
        <f t="shared" si="1"/>
        <v>3</v>
      </c>
      <c r="U185" s="53">
        <f t="shared" si="2"/>
        <v>3</v>
      </c>
      <c r="V185" s="9"/>
    </row>
    <row r="186" spans="1:22" ht="12.75" customHeight="1">
      <c r="A186" s="7"/>
      <c r="B186" s="1"/>
      <c r="C186" s="42"/>
      <c r="D186" s="34">
        <v>103</v>
      </c>
      <c r="E186" s="56" t="s">
        <v>614</v>
      </c>
      <c r="F186" s="86"/>
      <c r="G186" s="86"/>
      <c r="H186" s="49" t="s">
        <v>615</v>
      </c>
      <c r="I186" s="83" t="s">
        <v>616</v>
      </c>
      <c r="J186" s="80"/>
      <c r="K186" s="80"/>
      <c r="L186" s="77"/>
      <c r="M186" s="86"/>
      <c r="N186" s="34" t="s">
        <v>28</v>
      </c>
      <c r="O186" s="34">
        <v>20</v>
      </c>
      <c r="P186" s="34">
        <v>3</v>
      </c>
      <c r="Q186" s="51" t="s">
        <v>617</v>
      </c>
      <c r="R186" s="51" t="s">
        <v>618</v>
      </c>
      <c r="S186" s="52" t="str">
        <f t="shared" si="0"/>
        <v>High</v>
      </c>
      <c r="T186" s="52">
        <f t="shared" si="1"/>
        <v>7</v>
      </c>
      <c r="U186" s="53">
        <f t="shared" si="2"/>
        <v>7</v>
      </c>
      <c r="V186" s="9"/>
    </row>
    <row r="187" spans="1:22" ht="21.75" customHeight="1">
      <c r="A187" s="7"/>
      <c r="B187" s="1"/>
      <c r="C187" s="42"/>
      <c r="D187" s="96" t="s">
        <v>619</v>
      </c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77"/>
      <c r="U187" s="59">
        <f>SUM(U84:U186)</f>
        <v>430</v>
      </c>
      <c r="V187" s="9"/>
    </row>
    <row r="188" spans="1:22" ht="20.25" customHeight="1">
      <c r="A188" s="7"/>
      <c r="B188" s="1"/>
      <c r="C188" s="42"/>
      <c r="D188" s="43" t="s">
        <v>65</v>
      </c>
      <c r="E188" s="43" t="s">
        <v>66</v>
      </c>
      <c r="F188" s="43" t="s">
        <v>67</v>
      </c>
      <c r="G188" s="43" t="s">
        <v>68</v>
      </c>
      <c r="H188" s="43" t="s">
        <v>69</v>
      </c>
      <c r="I188" s="87" t="s">
        <v>70</v>
      </c>
      <c r="J188" s="80"/>
      <c r="K188" s="80"/>
      <c r="L188" s="77"/>
      <c r="M188" s="43" t="s">
        <v>71</v>
      </c>
      <c r="N188" s="45" t="s">
        <v>72</v>
      </c>
      <c r="O188" s="46" t="s">
        <v>12</v>
      </c>
      <c r="P188" s="46" t="s">
        <v>73</v>
      </c>
      <c r="Q188" s="45" t="s">
        <v>74</v>
      </c>
      <c r="R188" s="44" t="s">
        <v>75</v>
      </c>
      <c r="S188" s="44" t="s">
        <v>76</v>
      </c>
      <c r="T188" s="47" t="s">
        <v>13</v>
      </c>
      <c r="U188" s="43" t="s">
        <v>77</v>
      </c>
      <c r="V188" s="48"/>
    </row>
    <row r="189" spans="1:22" ht="25.5" customHeight="1">
      <c r="A189" s="7"/>
      <c r="B189" s="1"/>
      <c r="C189" s="42"/>
      <c r="D189" s="93" t="s">
        <v>620</v>
      </c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60"/>
      <c r="U189" s="61"/>
      <c r="V189" s="9"/>
    </row>
    <row r="190" spans="1:22" ht="12.75" customHeight="1">
      <c r="A190" s="7"/>
      <c r="B190" s="1"/>
      <c r="C190" s="42"/>
      <c r="D190" s="62">
        <v>1</v>
      </c>
      <c r="E190" s="51"/>
      <c r="F190" s="94" t="s">
        <v>80</v>
      </c>
      <c r="G190" s="63" t="s">
        <v>621</v>
      </c>
      <c r="H190" s="64"/>
      <c r="I190" s="83" t="s">
        <v>622</v>
      </c>
      <c r="J190" s="80"/>
      <c r="K190" s="80"/>
      <c r="L190" s="80"/>
      <c r="M190" s="62"/>
      <c r="N190" s="34" t="s">
        <v>22</v>
      </c>
      <c r="O190" s="34">
        <v>12</v>
      </c>
      <c r="P190" s="34">
        <v>1</v>
      </c>
      <c r="Q190" s="51" t="s">
        <v>623</v>
      </c>
      <c r="R190" s="51" t="s">
        <v>624</v>
      </c>
      <c r="S190" s="52" t="str">
        <f t="shared" ref="S190:S204" si="3">IF(N190&lt;&gt;"",IF(OR(N190="ILF",N190="EIF"),INDEX($L$53:$N$55,MATCH(P190,$K$53:$K$55),MATCH(O190,$L$52:$N$52)),IF(N190="EI",INDEX($L$60:$N$62,MATCH(P190,$K$60:$K$62),MATCH(O190,$L$59:$N$59)),IF(OR(N190="EO",N190="EQ"),INDEX($L$66:$N$68,MATCH(P190,$K$66:$K$68),MATCH(O190,$L$65:$N$65)),"#err"))),"")</f>
        <v>Low</v>
      </c>
      <c r="T190" s="52">
        <f t="shared" ref="T190:T204" si="4">IF(S190&lt;&gt;"",INDEX($R$53:$T$57,MATCH(N190,$Q$53:$Q$57,0),MATCH(S190,$R$52:$T$52,0)),"")</f>
        <v>7</v>
      </c>
      <c r="U190" s="53">
        <f t="shared" ref="U190:U204" si="5">IF(V190="",T190,T190*V190)</f>
        <v>7</v>
      </c>
      <c r="V190" s="9"/>
    </row>
    <row r="191" spans="1:22" ht="12.75" customHeight="1">
      <c r="A191" s="7"/>
      <c r="B191" s="1"/>
      <c r="C191" s="42"/>
      <c r="D191" s="62">
        <v>2</v>
      </c>
      <c r="E191" s="51"/>
      <c r="F191" s="85"/>
      <c r="G191" s="63" t="s">
        <v>625</v>
      </c>
      <c r="H191" s="64"/>
      <c r="I191" s="83" t="s">
        <v>626</v>
      </c>
      <c r="J191" s="80"/>
      <c r="K191" s="80"/>
      <c r="L191" s="80"/>
      <c r="M191" s="62"/>
      <c r="N191" s="34" t="s">
        <v>24</v>
      </c>
      <c r="O191" s="34">
        <v>4</v>
      </c>
      <c r="P191" s="34">
        <v>1</v>
      </c>
      <c r="Q191" s="51" t="s">
        <v>627</v>
      </c>
      <c r="R191" s="51" t="s">
        <v>628</v>
      </c>
      <c r="S191" s="52" t="str">
        <f t="shared" si="3"/>
        <v>Low</v>
      </c>
      <c r="T191" s="52">
        <f t="shared" si="4"/>
        <v>5</v>
      </c>
      <c r="U191" s="53">
        <f t="shared" si="5"/>
        <v>5</v>
      </c>
      <c r="V191" s="9"/>
    </row>
    <row r="192" spans="1:22" ht="12.75" customHeight="1">
      <c r="A192" s="7"/>
      <c r="B192" s="1"/>
      <c r="C192" s="42"/>
      <c r="D192" s="62">
        <v>3</v>
      </c>
      <c r="E192" s="51"/>
      <c r="F192" s="85"/>
      <c r="G192" s="63" t="s">
        <v>629</v>
      </c>
      <c r="H192" s="64"/>
      <c r="I192" s="83" t="s">
        <v>630</v>
      </c>
      <c r="J192" s="80"/>
      <c r="K192" s="80"/>
      <c r="L192" s="80"/>
      <c r="M192" s="62"/>
      <c r="N192" s="34" t="s">
        <v>24</v>
      </c>
      <c r="O192" s="34">
        <v>4</v>
      </c>
      <c r="P192" s="34">
        <v>1</v>
      </c>
      <c r="Q192" s="51" t="s">
        <v>631</v>
      </c>
      <c r="R192" s="51" t="s">
        <v>632</v>
      </c>
      <c r="S192" s="52" t="str">
        <f t="shared" si="3"/>
        <v>Low</v>
      </c>
      <c r="T192" s="52">
        <f t="shared" si="4"/>
        <v>5</v>
      </c>
      <c r="U192" s="53">
        <f t="shared" si="5"/>
        <v>5</v>
      </c>
      <c r="V192" s="9"/>
    </row>
    <row r="193" spans="1:22" ht="12.75" customHeight="1">
      <c r="A193" s="7"/>
      <c r="B193" s="1"/>
      <c r="C193" s="42"/>
      <c r="D193" s="62">
        <v>4</v>
      </c>
      <c r="E193" s="51"/>
      <c r="F193" s="94" t="s">
        <v>227</v>
      </c>
      <c r="G193" s="63" t="s">
        <v>633</v>
      </c>
      <c r="H193" s="64"/>
      <c r="I193" s="83" t="s">
        <v>634</v>
      </c>
      <c r="J193" s="80"/>
      <c r="K193" s="80"/>
      <c r="L193" s="80"/>
      <c r="M193" s="62"/>
      <c r="N193" s="34" t="s">
        <v>22</v>
      </c>
      <c r="O193" s="34">
        <v>11</v>
      </c>
      <c r="P193" s="34">
        <v>1</v>
      </c>
      <c r="Q193" s="51" t="s">
        <v>635</v>
      </c>
      <c r="R193" s="51" t="s">
        <v>636</v>
      </c>
      <c r="S193" s="52" t="str">
        <f t="shared" si="3"/>
        <v>Low</v>
      </c>
      <c r="T193" s="52">
        <f t="shared" si="4"/>
        <v>7</v>
      </c>
      <c r="U193" s="53">
        <f t="shared" si="5"/>
        <v>7</v>
      </c>
      <c r="V193" s="9"/>
    </row>
    <row r="194" spans="1:22" ht="12.75" customHeight="1">
      <c r="A194" s="7"/>
      <c r="B194" s="1"/>
      <c r="C194" s="42"/>
      <c r="D194" s="62">
        <v>5</v>
      </c>
      <c r="E194" s="51"/>
      <c r="F194" s="85"/>
      <c r="G194" s="65" t="s">
        <v>637</v>
      </c>
      <c r="H194" s="66"/>
      <c r="I194" s="83" t="s">
        <v>638</v>
      </c>
      <c r="J194" s="80"/>
      <c r="K194" s="80"/>
      <c r="L194" s="80"/>
      <c r="M194" s="62"/>
      <c r="N194" s="34" t="s">
        <v>22</v>
      </c>
      <c r="O194" s="34">
        <v>8</v>
      </c>
      <c r="P194" s="34">
        <v>1</v>
      </c>
      <c r="Q194" s="51" t="s">
        <v>639</v>
      </c>
      <c r="R194" s="51" t="s">
        <v>640</v>
      </c>
      <c r="S194" s="52" t="str">
        <f t="shared" si="3"/>
        <v>Low</v>
      </c>
      <c r="T194" s="52">
        <f t="shared" si="4"/>
        <v>7</v>
      </c>
      <c r="U194" s="53">
        <f t="shared" si="5"/>
        <v>7</v>
      </c>
      <c r="V194" s="9"/>
    </row>
    <row r="195" spans="1:22" ht="12.75" customHeight="1">
      <c r="A195" s="7"/>
      <c r="B195" s="1"/>
      <c r="C195" s="42"/>
      <c r="D195" s="62">
        <v>6</v>
      </c>
      <c r="E195" s="51"/>
      <c r="F195" s="85"/>
      <c r="G195" s="63" t="s">
        <v>641</v>
      </c>
      <c r="H195" s="64"/>
      <c r="I195" s="83" t="s">
        <v>642</v>
      </c>
      <c r="J195" s="80"/>
      <c r="K195" s="80"/>
      <c r="L195" s="80"/>
      <c r="M195" s="62"/>
      <c r="N195" s="34" t="s">
        <v>24</v>
      </c>
      <c r="O195" s="34">
        <v>3</v>
      </c>
      <c r="P195" s="34">
        <v>1</v>
      </c>
      <c r="Q195" s="51" t="s">
        <v>643</v>
      </c>
      <c r="R195" s="51" t="s">
        <v>644</v>
      </c>
      <c r="S195" s="52" t="str">
        <f t="shared" si="3"/>
        <v>Low</v>
      </c>
      <c r="T195" s="52">
        <f t="shared" si="4"/>
        <v>5</v>
      </c>
      <c r="U195" s="53">
        <f t="shared" si="5"/>
        <v>5</v>
      </c>
      <c r="V195" s="9"/>
    </row>
    <row r="196" spans="1:22" ht="12.75" customHeight="1">
      <c r="A196" s="7"/>
      <c r="B196" s="1"/>
      <c r="C196" s="42"/>
      <c r="D196" s="62">
        <v>7</v>
      </c>
      <c r="E196" s="51"/>
      <c r="F196" s="50" t="s">
        <v>350</v>
      </c>
      <c r="G196" s="63" t="s">
        <v>645</v>
      </c>
      <c r="H196" s="64"/>
      <c r="I196" s="83" t="s">
        <v>646</v>
      </c>
      <c r="J196" s="80"/>
      <c r="K196" s="80"/>
      <c r="L196" s="80"/>
      <c r="M196" s="62"/>
      <c r="N196" s="34" t="s">
        <v>22</v>
      </c>
      <c r="O196" s="34">
        <v>11</v>
      </c>
      <c r="P196" s="34">
        <v>1</v>
      </c>
      <c r="Q196" s="51" t="s">
        <v>647</v>
      </c>
      <c r="R196" s="51" t="s">
        <v>648</v>
      </c>
      <c r="S196" s="52" t="str">
        <f t="shared" si="3"/>
        <v>Low</v>
      </c>
      <c r="T196" s="52">
        <f t="shared" si="4"/>
        <v>7</v>
      </c>
      <c r="U196" s="53">
        <f t="shared" si="5"/>
        <v>7</v>
      </c>
      <c r="V196" s="9"/>
    </row>
    <row r="197" spans="1:22" ht="12.75" customHeight="1">
      <c r="A197" s="7"/>
      <c r="B197" s="1"/>
      <c r="C197" s="42"/>
      <c r="D197" s="62">
        <v>8</v>
      </c>
      <c r="E197" s="51"/>
      <c r="F197" s="94" t="s">
        <v>286</v>
      </c>
      <c r="G197" s="63" t="s">
        <v>649</v>
      </c>
      <c r="H197" s="64"/>
      <c r="I197" s="83" t="s">
        <v>650</v>
      </c>
      <c r="J197" s="80"/>
      <c r="K197" s="80"/>
      <c r="L197" s="80"/>
      <c r="M197" s="62"/>
      <c r="N197" s="34" t="s">
        <v>24</v>
      </c>
      <c r="O197" s="34">
        <v>5</v>
      </c>
      <c r="P197" s="34">
        <v>1</v>
      </c>
      <c r="Q197" s="51" t="s">
        <v>651</v>
      </c>
      <c r="R197" s="51" t="s">
        <v>652</v>
      </c>
      <c r="S197" s="52" t="str">
        <f t="shared" si="3"/>
        <v>Low</v>
      </c>
      <c r="T197" s="52">
        <f t="shared" si="4"/>
        <v>5</v>
      </c>
      <c r="U197" s="53">
        <f t="shared" si="5"/>
        <v>5</v>
      </c>
      <c r="V197" s="9"/>
    </row>
    <row r="198" spans="1:22" ht="12.75" customHeight="1">
      <c r="A198" s="7"/>
      <c r="B198" s="1"/>
      <c r="C198" s="42"/>
      <c r="D198" s="62">
        <v>9</v>
      </c>
      <c r="E198" s="51"/>
      <c r="F198" s="85"/>
      <c r="G198" s="65" t="s">
        <v>653</v>
      </c>
      <c r="H198" s="66"/>
      <c r="I198" s="83" t="s">
        <v>654</v>
      </c>
      <c r="J198" s="80"/>
      <c r="K198" s="80"/>
      <c r="L198" s="80"/>
      <c r="M198" s="62"/>
      <c r="N198" s="34" t="s">
        <v>22</v>
      </c>
      <c r="O198" s="34">
        <v>10</v>
      </c>
      <c r="P198" s="34">
        <v>1</v>
      </c>
      <c r="Q198" s="51" t="s">
        <v>655</v>
      </c>
      <c r="R198" s="51" t="s">
        <v>656</v>
      </c>
      <c r="S198" s="52" t="str">
        <f t="shared" si="3"/>
        <v>Low</v>
      </c>
      <c r="T198" s="52">
        <f t="shared" si="4"/>
        <v>7</v>
      </c>
      <c r="U198" s="53">
        <f t="shared" si="5"/>
        <v>7</v>
      </c>
      <c r="V198" s="9"/>
    </row>
    <row r="199" spans="1:22" ht="12.75" customHeight="1">
      <c r="A199" s="7"/>
      <c r="B199" s="1"/>
      <c r="C199" s="42"/>
      <c r="D199" s="62">
        <v>10</v>
      </c>
      <c r="E199" s="51"/>
      <c r="F199" s="50" t="s">
        <v>407</v>
      </c>
      <c r="G199" s="63" t="s">
        <v>657</v>
      </c>
      <c r="H199" s="64"/>
      <c r="I199" s="83" t="s">
        <v>658</v>
      </c>
      <c r="J199" s="80"/>
      <c r="K199" s="80"/>
      <c r="L199" s="80"/>
      <c r="M199" s="62"/>
      <c r="N199" s="34" t="s">
        <v>22</v>
      </c>
      <c r="O199" s="34">
        <v>6</v>
      </c>
      <c r="P199" s="34">
        <v>1</v>
      </c>
      <c r="Q199" s="51" t="s">
        <v>659</v>
      </c>
      <c r="R199" s="51" t="s">
        <v>660</v>
      </c>
      <c r="S199" s="52" t="str">
        <f t="shared" si="3"/>
        <v>Low</v>
      </c>
      <c r="T199" s="52">
        <f t="shared" si="4"/>
        <v>7</v>
      </c>
      <c r="U199" s="53">
        <f t="shared" si="5"/>
        <v>7</v>
      </c>
      <c r="V199" s="9"/>
    </row>
    <row r="200" spans="1:22" ht="12.75" customHeight="1">
      <c r="A200" s="7"/>
      <c r="B200" s="1"/>
      <c r="C200" s="42"/>
      <c r="D200" s="62">
        <v>11</v>
      </c>
      <c r="E200" s="51"/>
      <c r="F200" s="50" t="s">
        <v>455</v>
      </c>
      <c r="G200" s="63" t="s">
        <v>661</v>
      </c>
      <c r="H200" s="64"/>
      <c r="I200" s="83" t="s">
        <v>662</v>
      </c>
      <c r="J200" s="80"/>
      <c r="K200" s="80"/>
      <c r="L200" s="80"/>
      <c r="M200" s="62"/>
      <c r="N200" s="34" t="s">
        <v>22</v>
      </c>
      <c r="O200" s="34">
        <v>6</v>
      </c>
      <c r="P200" s="34">
        <v>1</v>
      </c>
      <c r="Q200" s="51" t="s">
        <v>663</v>
      </c>
      <c r="R200" s="51" t="s">
        <v>664</v>
      </c>
      <c r="S200" s="52" t="str">
        <f t="shared" si="3"/>
        <v>Low</v>
      </c>
      <c r="T200" s="52">
        <f t="shared" si="4"/>
        <v>7</v>
      </c>
      <c r="U200" s="53">
        <f t="shared" si="5"/>
        <v>7</v>
      </c>
      <c r="V200" s="9"/>
    </row>
    <row r="201" spans="1:22" ht="12.75" customHeight="1">
      <c r="A201" s="7"/>
      <c r="B201" s="1"/>
      <c r="C201" s="42"/>
      <c r="D201" s="62">
        <v>12</v>
      </c>
      <c r="E201" s="51"/>
      <c r="F201" s="94" t="s">
        <v>665</v>
      </c>
      <c r="G201" s="63" t="s">
        <v>666</v>
      </c>
      <c r="H201" s="64"/>
      <c r="I201" s="83" t="s">
        <v>667</v>
      </c>
      <c r="J201" s="80"/>
      <c r="K201" s="80"/>
      <c r="L201" s="80"/>
      <c r="M201" s="62"/>
      <c r="N201" s="34" t="s">
        <v>22</v>
      </c>
      <c r="O201" s="34">
        <v>6</v>
      </c>
      <c r="P201" s="34">
        <v>1</v>
      </c>
      <c r="Q201" s="51" t="s">
        <v>668</v>
      </c>
      <c r="R201" s="51" t="s">
        <v>669</v>
      </c>
      <c r="S201" s="52" t="str">
        <f t="shared" si="3"/>
        <v>Low</v>
      </c>
      <c r="T201" s="52">
        <f t="shared" si="4"/>
        <v>7</v>
      </c>
      <c r="U201" s="53">
        <f t="shared" si="5"/>
        <v>7</v>
      </c>
      <c r="V201" s="9"/>
    </row>
    <row r="202" spans="1:22" ht="12.75" customHeight="1">
      <c r="A202" s="7"/>
      <c r="B202" s="1"/>
      <c r="C202" s="42"/>
      <c r="D202" s="62">
        <v>13</v>
      </c>
      <c r="E202" s="51"/>
      <c r="F202" s="85"/>
      <c r="G202" s="63" t="s">
        <v>670</v>
      </c>
      <c r="H202" s="64"/>
      <c r="I202" s="83" t="s">
        <v>671</v>
      </c>
      <c r="J202" s="80"/>
      <c r="K202" s="80"/>
      <c r="L202" s="80"/>
      <c r="M202" s="62"/>
      <c r="N202" s="34" t="s">
        <v>24</v>
      </c>
      <c r="O202" s="34">
        <v>3</v>
      </c>
      <c r="P202" s="34">
        <v>1</v>
      </c>
      <c r="Q202" s="51" t="s">
        <v>672</v>
      </c>
      <c r="R202" s="51" t="s">
        <v>673</v>
      </c>
      <c r="S202" s="52" t="str">
        <f t="shared" si="3"/>
        <v>Low</v>
      </c>
      <c r="T202" s="52">
        <f t="shared" si="4"/>
        <v>5</v>
      </c>
      <c r="U202" s="53">
        <f t="shared" si="5"/>
        <v>5</v>
      </c>
      <c r="V202" s="9"/>
    </row>
    <row r="203" spans="1:22" ht="12.75" customHeight="1">
      <c r="A203" s="7"/>
      <c r="B203" s="1"/>
      <c r="C203" s="42"/>
      <c r="D203" s="62">
        <v>14</v>
      </c>
      <c r="E203" s="51"/>
      <c r="F203" s="94" t="s">
        <v>674</v>
      </c>
      <c r="G203" s="63" t="s">
        <v>675</v>
      </c>
      <c r="H203" s="64"/>
      <c r="I203" s="83" t="s">
        <v>676</v>
      </c>
      <c r="J203" s="80"/>
      <c r="K203" s="80"/>
      <c r="L203" s="80"/>
      <c r="M203" s="62"/>
      <c r="N203" s="34" t="s">
        <v>22</v>
      </c>
      <c r="O203" s="34">
        <v>6</v>
      </c>
      <c r="P203" s="34">
        <v>1</v>
      </c>
      <c r="Q203" s="51" t="s">
        <v>677</v>
      </c>
      <c r="R203" s="51" t="s">
        <v>678</v>
      </c>
      <c r="S203" s="52" t="str">
        <f t="shared" si="3"/>
        <v>Low</v>
      </c>
      <c r="T203" s="52">
        <f t="shared" si="4"/>
        <v>7</v>
      </c>
      <c r="U203" s="53">
        <f t="shared" si="5"/>
        <v>7</v>
      </c>
      <c r="V203" s="9"/>
    </row>
    <row r="204" spans="1:22" ht="12.75" customHeight="1">
      <c r="A204" s="7"/>
      <c r="B204" s="1"/>
      <c r="C204" s="42"/>
      <c r="D204" s="62">
        <v>15</v>
      </c>
      <c r="E204" s="51"/>
      <c r="F204" s="85"/>
      <c r="G204" s="63" t="s">
        <v>679</v>
      </c>
      <c r="H204" s="64"/>
      <c r="I204" s="83" t="s">
        <v>680</v>
      </c>
      <c r="J204" s="80"/>
      <c r="K204" s="80"/>
      <c r="L204" s="80"/>
      <c r="M204" s="62"/>
      <c r="N204" s="34" t="s">
        <v>22</v>
      </c>
      <c r="O204" s="34">
        <v>7</v>
      </c>
      <c r="P204" s="34">
        <v>1</v>
      </c>
      <c r="Q204" s="51" t="s">
        <v>681</v>
      </c>
      <c r="R204" s="51" t="s">
        <v>682</v>
      </c>
      <c r="S204" s="52" t="str">
        <f t="shared" si="3"/>
        <v>Low</v>
      </c>
      <c r="T204" s="52">
        <f t="shared" si="4"/>
        <v>7</v>
      </c>
      <c r="U204" s="53">
        <f t="shared" si="5"/>
        <v>7</v>
      </c>
      <c r="V204" s="9"/>
    </row>
    <row r="205" spans="1:22" ht="22.5" customHeight="1">
      <c r="A205" s="7"/>
      <c r="B205" s="1"/>
      <c r="C205" s="42"/>
      <c r="D205" s="96" t="s">
        <v>619</v>
      </c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77"/>
      <c r="U205" s="59">
        <f>SUM(U190:U204)</f>
        <v>95</v>
      </c>
      <c r="V205" s="9"/>
    </row>
    <row r="206" spans="1:22" ht="12.75" customHeight="1">
      <c r="A206" s="7"/>
      <c r="B206" s="1"/>
      <c r="C206" s="1"/>
      <c r="D206" s="67"/>
      <c r="E206" s="68"/>
      <c r="F206" s="68"/>
      <c r="G206" s="69"/>
      <c r="H206" s="68"/>
      <c r="I206" s="97"/>
      <c r="J206" s="81"/>
      <c r="K206" s="81"/>
      <c r="L206" s="81"/>
      <c r="M206" s="70"/>
      <c r="N206" s="67"/>
      <c r="O206" s="67"/>
      <c r="P206" s="67"/>
      <c r="Q206" s="6"/>
      <c r="R206" s="6"/>
      <c r="S206" s="70"/>
      <c r="T206" s="71"/>
      <c r="U206" s="71"/>
      <c r="V206" s="9"/>
    </row>
    <row r="207" spans="1:22" ht="12.75" customHeight="1">
      <c r="A207" s="72"/>
      <c r="B207" s="73"/>
      <c r="C207" s="73"/>
      <c r="D207" s="13"/>
      <c r="E207" s="13"/>
      <c r="F207" s="13"/>
      <c r="G207" s="14"/>
      <c r="H207" s="13"/>
      <c r="I207" s="13"/>
      <c r="J207" s="13"/>
      <c r="K207" s="13"/>
      <c r="L207" s="13"/>
      <c r="M207" s="74"/>
      <c r="N207" s="13"/>
      <c r="O207" s="13"/>
      <c r="P207" s="13"/>
      <c r="Q207" s="75"/>
      <c r="R207" s="75"/>
      <c r="S207" s="13"/>
      <c r="T207" s="13"/>
      <c r="U207" s="13"/>
      <c r="V207" s="76"/>
    </row>
  </sheetData>
  <mergeCells count="180">
    <mergeCell ref="D205:T205"/>
    <mergeCell ref="I206:L206"/>
    <mergeCell ref="I193:L193"/>
    <mergeCell ref="I194:L194"/>
    <mergeCell ref="I195:L195"/>
    <mergeCell ref="I196:L196"/>
    <mergeCell ref="I197:L197"/>
    <mergeCell ref="I198:L198"/>
    <mergeCell ref="I199:L199"/>
    <mergeCell ref="I167:L167"/>
    <mergeCell ref="I168:L168"/>
    <mergeCell ref="I169:L169"/>
    <mergeCell ref="I170:L170"/>
    <mergeCell ref="I171:L171"/>
    <mergeCell ref="I172:L172"/>
    <mergeCell ref="I173:L173"/>
    <mergeCell ref="I174:L174"/>
    <mergeCell ref="I175:L175"/>
    <mergeCell ref="I165:L165"/>
    <mergeCell ref="I166:L166"/>
    <mergeCell ref="I158:L158"/>
    <mergeCell ref="I159:L159"/>
    <mergeCell ref="I160:L160"/>
    <mergeCell ref="I161:L161"/>
    <mergeCell ref="I162:L162"/>
    <mergeCell ref="I163:L163"/>
    <mergeCell ref="I164:L164"/>
    <mergeCell ref="I156:L156"/>
    <mergeCell ref="I157:L157"/>
    <mergeCell ref="I149:L149"/>
    <mergeCell ref="I150:L150"/>
    <mergeCell ref="I151:L151"/>
    <mergeCell ref="I152:L152"/>
    <mergeCell ref="I153:L153"/>
    <mergeCell ref="I154:L154"/>
    <mergeCell ref="I155:L155"/>
    <mergeCell ref="G130:G131"/>
    <mergeCell ref="G132:G134"/>
    <mergeCell ref="I147:L147"/>
    <mergeCell ref="I148:L148"/>
    <mergeCell ref="I140:L140"/>
    <mergeCell ref="I141:L141"/>
    <mergeCell ref="I142:L142"/>
    <mergeCell ref="I143:L143"/>
    <mergeCell ref="I144:L144"/>
    <mergeCell ref="I145:L145"/>
    <mergeCell ref="I146:L146"/>
    <mergeCell ref="F103:F111"/>
    <mergeCell ref="I103:L103"/>
    <mergeCell ref="I104:L104"/>
    <mergeCell ref="I105:L105"/>
    <mergeCell ref="I106:L106"/>
    <mergeCell ref="I116:L116"/>
    <mergeCell ref="I117:L117"/>
    <mergeCell ref="I123:L123"/>
    <mergeCell ref="I126:L126"/>
    <mergeCell ref="G135:G138"/>
    <mergeCell ref="G139:G141"/>
    <mergeCell ref="F142:F145"/>
    <mergeCell ref="G142:G145"/>
    <mergeCell ref="G146:G150"/>
    <mergeCell ref="G151:G154"/>
    <mergeCell ref="G180:G182"/>
    <mergeCell ref="G183:G186"/>
    <mergeCell ref="G155:G158"/>
    <mergeCell ref="G159:G161"/>
    <mergeCell ref="G162:G164"/>
    <mergeCell ref="G165:G167"/>
    <mergeCell ref="G168:G170"/>
    <mergeCell ref="G171:G174"/>
    <mergeCell ref="G175:G179"/>
    <mergeCell ref="F146:F154"/>
    <mergeCell ref="F155:F158"/>
    <mergeCell ref="F159:F186"/>
    <mergeCell ref="F190:F192"/>
    <mergeCell ref="F193:F195"/>
    <mergeCell ref="F197:F198"/>
    <mergeCell ref="F201:F202"/>
    <mergeCell ref="F203:F204"/>
    <mergeCell ref="F135:F141"/>
    <mergeCell ref="D187:T187"/>
    <mergeCell ref="D189:S189"/>
    <mergeCell ref="I190:L190"/>
    <mergeCell ref="I191:L191"/>
    <mergeCell ref="I192:L192"/>
    <mergeCell ref="I200:L200"/>
    <mergeCell ref="I201:L201"/>
    <mergeCell ref="I202:L202"/>
    <mergeCell ref="I203:L203"/>
    <mergeCell ref="I204:L204"/>
    <mergeCell ref="E51:G51"/>
    <mergeCell ref="G88:G91"/>
    <mergeCell ref="I88:L88"/>
    <mergeCell ref="I90:L90"/>
    <mergeCell ref="I91:L91"/>
    <mergeCell ref="G92:G93"/>
    <mergeCell ref="I92:L92"/>
    <mergeCell ref="I93:L93"/>
    <mergeCell ref="S77:T77"/>
    <mergeCell ref="S79:T79"/>
    <mergeCell ref="S80:T80"/>
    <mergeCell ref="I82:L82"/>
    <mergeCell ref="D83:U83"/>
    <mergeCell ref="F84:F102"/>
    <mergeCell ref="G84:G87"/>
    <mergeCell ref="G99:G102"/>
    <mergeCell ref="I96:L96"/>
    <mergeCell ref="I97:L97"/>
    <mergeCell ref="I98:L98"/>
    <mergeCell ref="I99:L99"/>
    <mergeCell ref="I102:L102"/>
    <mergeCell ref="I100:L100"/>
    <mergeCell ref="I188:L188"/>
    <mergeCell ref="I133:L133"/>
    <mergeCell ref="I134:L134"/>
    <mergeCell ref="I135:L135"/>
    <mergeCell ref="I136:L136"/>
    <mergeCell ref="I137:L137"/>
    <mergeCell ref="I138:L138"/>
    <mergeCell ref="I139:L139"/>
    <mergeCell ref="I94:L94"/>
    <mergeCell ref="G94:G98"/>
    <mergeCell ref="I95:L95"/>
    <mergeCell ref="G123:G125"/>
    <mergeCell ref="G126:G129"/>
    <mergeCell ref="G103:G106"/>
    <mergeCell ref="G107:G111"/>
    <mergeCell ref="F112:F122"/>
    <mergeCell ref="G112:G115"/>
    <mergeCell ref="G116:G118"/>
    <mergeCell ref="G119:G122"/>
    <mergeCell ref="F123:F134"/>
    <mergeCell ref="I120:L120"/>
    <mergeCell ref="I121:L121"/>
    <mergeCell ref="M112:M122"/>
    <mergeCell ref="M123:M125"/>
    <mergeCell ref="M126:M131"/>
    <mergeCell ref="M132:M141"/>
    <mergeCell ref="M142:M150"/>
    <mergeCell ref="M151:M158"/>
    <mergeCell ref="M159:M186"/>
    <mergeCell ref="I112:L112"/>
    <mergeCell ref="I113:L113"/>
    <mergeCell ref="I114:L114"/>
    <mergeCell ref="I115:L115"/>
    <mergeCell ref="I122:L122"/>
    <mergeCell ref="I124:L124"/>
    <mergeCell ref="I125:L125"/>
    <mergeCell ref="I127:L127"/>
    <mergeCell ref="I128:L128"/>
    <mergeCell ref="I129:L129"/>
    <mergeCell ref="I130:L130"/>
    <mergeCell ref="I131:L131"/>
    <mergeCell ref="I185:L185"/>
    <mergeCell ref="I186:L186"/>
    <mergeCell ref="I132:L132"/>
    <mergeCell ref="I84:L84"/>
    <mergeCell ref="M84:M87"/>
    <mergeCell ref="I85:L85"/>
    <mergeCell ref="I86:L86"/>
    <mergeCell ref="I87:L87"/>
    <mergeCell ref="M88:M111"/>
    <mergeCell ref="I89:L89"/>
    <mergeCell ref="I118:L118"/>
    <mergeCell ref="I119:L119"/>
    <mergeCell ref="I110:L110"/>
    <mergeCell ref="I111:L111"/>
    <mergeCell ref="I107:L107"/>
    <mergeCell ref="I108:L108"/>
    <mergeCell ref="I109:L109"/>
    <mergeCell ref="I101:L101"/>
    <mergeCell ref="I183:L183"/>
    <mergeCell ref="I184:L184"/>
    <mergeCell ref="I176:L176"/>
    <mergeCell ref="I177:L177"/>
    <mergeCell ref="I178:L178"/>
    <mergeCell ref="I179:L179"/>
    <mergeCell ref="I180:L180"/>
    <mergeCell ref="I181:L181"/>
    <mergeCell ref="I182:L182"/>
  </mergeCells>
  <dataValidations count="2">
    <dataValidation type="list" allowBlank="1" sqref="H52:H65" xr:uid="{00000000-0002-0000-0300-000000000000}">
      <formula1>"1,2,3,4,5"</formula1>
    </dataValidation>
    <dataValidation type="list" allowBlank="1" showErrorMessage="1" sqref="N84:N186 N190:N204" xr:uid="{00000000-0002-0000-0300-000001000000}">
      <formula1>"ILF,EIF,EI,EO,EQ"</formula1>
    </dataValidation>
  </dataValidations>
  <pageMargins left="0.23622047244094491" right="0.23622047244094491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FL&amp;Cost1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</dc:creator>
  <cp:lastModifiedBy>VŨ VIỆT HOÀNG</cp:lastModifiedBy>
  <dcterms:created xsi:type="dcterms:W3CDTF">2010-05-01T02:42:37Z</dcterms:created>
  <dcterms:modified xsi:type="dcterms:W3CDTF">2026-04-13T01:53:11Z</dcterms:modified>
</cp:coreProperties>
</file>